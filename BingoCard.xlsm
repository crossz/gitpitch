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eng\Desktop\"/>
    </mc:Choice>
  </mc:AlternateContent>
  <bookViews>
    <workbookView xWindow="1440" yWindow="4155" windowWidth="15210" windowHeight="5970" tabRatio="751" activeTab="2"/>
  </bookViews>
  <sheets>
    <sheet name="Cards" sheetId="1" r:id="rId1"/>
    <sheet name="Numbers" sheetId="2" state="hidden" r:id="rId2"/>
    <sheet name="0" sheetId="17" r:id="rId3"/>
    <sheet name="MyLinks" sheetId="9" state="hidden" r:id="rId4"/>
  </sheets>
  <definedNames>
    <definedName name="_xlnm.Print_Area" localSheetId="2">'0'!$A$1:$N$22</definedName>
    <definedName name="_xlnm.Print_Area" localSheetId="0">Cards!$A$1:$M$21</definedName>
  </definedNames>
  <calcPr calcId="152511"/>
</workbook>
</file>

<file path=xl/calcChain.xml><?xml version="1.0" encoding="utf-8"?>
<calcChain xmlns="http://schemas.openxmlformats.org/spreadsheetml/2006/main">
  <c r="O4" i="1" l="1"/>
  <c r="AR35" i="2"/>
  <c r="AO35" i="2"/>
  <c r="AL35" i="2"/>
  <c r="AI35" i="2"/>
  <c r="AF35" i="2"/>
  <c r="AR34" i="2"/>
  <c r="AO34" i="2"/>
  <c r="AL34" i="2"/>
  <c r="AI34" i="2"/>
  <c r="AF34" i="2"/>
  <c r="AR33" i="2"/>
  <c r="AO33" i="2"/>
  <c r="AL33" i="2"/>
  <c r="AI33" i="2"/>
  <c r="AF33" i="2"/>
  <c r="AR32" i="2"/>
  <c r="AO32" i="2"/>
  <c r="AL32" i="2"/>
  <c r="AI32" i="2"/>
  <c r="AF32" i="2"/>
  <c r="AR31" i="2"/>
  <c r="AO31" i="2"/>
  <c r="AL31" i="2"/>
  <c r="AI31" i="2"/>
  <c r="AF31" i="2"/>
  <c r="AR30" i="2"/>
  <c r="AO30" i="2"/>
  <c r="AL30" i="2"/>
  <c r="AI30" i="2"/>
  <c r="AF30" i="2"/>
  <c r="AR29" i="2"/>
  <c r="AO29" i="2"/>
  <c r="AL29" i="2"/>
  <c r="AI29" i="2"/>
  <c r="AF29" i="2"/>
  <c r="AR28" i="2"/>
  <c r="AO28" i="2"/>
  <c r="AL28" i="2"/>
  <c r="AI28" i="2"/>
  <c r="AF28" i="2"/>
  <c r="AR27" i="2"/>
  <c r="AO27" i="2"/>
  <c r="AL27" i="2"/>
  <c r="AI27" i="2"/>
  <c r="AF27" i="2"/>
  <c r="AR26" i="2"/>
  <c r="AO26" i="2"/>
  <c r="AL26" i="2"/>
  <c r="AI26" i="2"/>
  <c r="AF26" i="2"/>
  <c r="AR25" i="2"/>
  <c r="AO25" i="2"/>
  <c r="AL25" i="2"/>
  <c r="AI25" i="2"/>
  <c r="AF25" i="2"/>
  <c r="AR24" i="2"/>
  <c r="AO24" i="2"/>
  <c r="AL24" i="2"/>
  <c r="AI24" i="2"/>
  <c r="AF24" i="2"/>
  <c r="AR23" i="2"/>
  <c r="AO23" i="2"/>
  <c r="AL23" i="2"/>
  <c r="AI23" i="2"/>
  <c r="AF23" i="2"/>
  <c r="AR22" i="2"/>
  <c r="AO22" i="2"/>
  <c r="AL22" i="2"/>
  <c r="AI22" i="2"/>
  <c r="AF22" i="2"/>
  <c r="AR21" i="2"/>
  <c r="AO21" i="2"/>
  <c r="AL21" i="2"/>
  <c r="AI21" i="2"/>
  <c r="AF21" i="2"/>
  <c r="AC35" i="2"/>
  <c r="Z35" i="2"/>
  <c r="W35" i="2"/>
  <c r="T35" i="2"/>
  <c r="Q35" i="2"/>
  <c r="AC34" i="2"/>
  <c r="Z34" i="2"/>
  <c r="W34" i="2"/>
  <c r="T34" i="2"/>
  <c r="Q34" i="2"/>
  <c r="AC33" i="2"/>
  <c r="Z33" i="2"/>
  <c r="W33" i="2"/>
  <c r="T33" i="2"/>
  <c r="Q33" i="2"/>
  <c r="AC32" i="2"/>
  <c r="Z32" i="2"/>
  <c r="W32" i="2"/>
  <c r="T32" i="2"/>
  <c r="Q32" i="2"/>
  <c r="AC31" i="2"/>
  <c r="Z31" i="2"/>
  <c r="W31" i="2"/>
  <c r="T31" i="2"/>
  <c r="Q31" i="2"/>
  <c r="AC30" i="2"/>
  <c r="Z30" i="2"/>
  <c r="W30" i="2"/>
  <c r="T30" i="2"/>
  <c r="Q30" i="2"/>
  <c r="AC29" i="2"/>
  <c r="Z29" i="2"/>
  <c r="W29" i="2"/>
  <c r="T29" i="2"/>
  <c r="Q29" i="2"/>
  <c r="AC28" i="2"/>
  <c r="Z28" i="2"/>
  <c r="W28" i="2"/>
  <c r="T28" i="2"/>
  <c r="Q28" i="2"/>
  <c r="AC27" i="2"/>
  <c r="Z27" i="2"/>
  <c r="W27" i="2"/>
  <c r="T27" i="2"/>
  <c r="Q27" i="2"/>
  <c r="AC26" i="2"/>
  <c r="Z26" i="2"/>
  <c r="W26" i="2"/>
  <c r="T26" i="2"/>
  <c r="Q26" i="2"/>
  <c r="AC25" i="2"/>
  <c r="Z25" i="2"/>
  <c r="W25" i="2"/>
  <c r="T25" i="2"/>
  <c r="Q25" i="2"/>
  <c r="AC24" i="2"/>
  <c r="Z24" i="2"/>
  <c r="W24" i="2"/>
  <c r="T24" i="2"/>
  <c r="Q24" i="2"/>
  <c r="AC23" i="2"/>
  <c r="Z23" i="2"/>
  <c r="W23" i="2"/>
  <c r="T23" i="2"/>
  <c r="Q23" i="2"/>
  <c r="AC22" i="2"/>
  <c r="Z22" i="2"/>
  <c r="W22" i="2"/>
  <c r="T22" i="2"/>
  <c r="Q22" i="2"/>
  <c r="AC21" i="2"/>
  <c r="Z21" i="2"/>
  <c r="W21" i="2"/>
  <c r="T21" i="2"/>
  <c r="Q21" i="2"/>
  <c r="N35" i="2"/>
  <c r="K35" i="2"/>
  <c r="H35" i="2"/>
  <c r="E35" i="2"/>
  <c r="B35" i="2"/>
  <c r="N34" i="2"/>
  <c r="K34" i="2"/>
  <c r="H34" i="2"/>
  <c r="E34" i="2"/>
  <c r="B34" i="2"/>
  <c r="N33" i="2"/>
  <c r="K33" i="2"/>
  <c r="H33" i="2"/>
  <c r="E33" i="2"/>
  <c r="B33" i="2"/>
  <c r="N32" i="2"/>
  <c r="K32" i="2"/>
  <c r="H32" i="2"/>
  <c r="E32" i="2"/>
  <c r="B32" i="2"/>
  <c r="N31" i="2"/>
  <c r="K31" i="2"/>
  <c r="H31" i="2"/>
  <c r="E31" i="2"/>
  <c r="B31" i="2"/>
  <c r="N30" i="2"/>
  <c r="K30" i="2"/>
  <c r="H30" i="2"/>
  <c r="E30" i="2"/>
  <c r="B30" i="2"/>
  <c r="N29" i="2"/>
  <c r="K29" i="2"/>
  <c r="H29" i="2"/>
  <c r="E29" i="2"/>
  <c r="B29" i="2"/>
  <c r="N28" i="2"/>
  <c r="K28" i="2"/>
  <c r="H28" i="2"/>
  <c r="E28" i="2"/>
  <c r="B28" i="2"/>
  <c r="N27" i="2"/>
  <c r="K27" i="2"/>
  <c r="H27" i="2"/>
  <c r="E27" i="2"/>
  <c r="B27" i="2"/>
  <c r="N26" i="2"/>
  <c r="K26" i="2"/>
  <c r="H26" i="2"/>
  <c r="E26" i="2"/>
  <c r="B26" i="2"/>
  <c r="N25" i="2"/>
  <c r="K25" i="2"/>
  <c r="H25" i="2"/>
  <c r="E25" i="2"/>
  <c r="B25" i="2"/>
  <c r="N24" i="2"/>
  <c r="K24" i="2"/>
  <c r="H24" i="2"/>
  <c r="E24" i="2"/>
  <c r="B24" i="2"/>
  <c r="N23" i="2"/>
  <c r="K23" i="2"/>
  <c r="H23" i="2"/>
  <c r="E23" i="2"/>
  <c r="B23" i="2"/>
  <c r="N22" i="2"/>
  <c r="K22" i="2"/>
  <c r="H22" i="2"/>
  <c r="E22" i="2"/>
  <c r="B22" i="2"/>
  <c r="N21" i="2"/>
  <c r="K21" i="2"/>
  <c r="H21" i="2"/>
  <c r="E21" i="2"/>
  <c r="B21" i="2"/>
  <c r="N1" i="17" l="1"/>
  <c r="N1" i="1"/>
  <c r="AR15" i="2" l="1"/>
  <c r="AO15" i="2"/>
  <c r="AL15" i="2"/>
  <c r="AI15" i="2"/>
  <c r="AF15" i="2"/>
  <c r="AR14" i="2"/>
  <c r="AO14" i="2"/>
  <c r="AL14" i="2"/>
  <c r="AI14" i="2"/>
  <c r="AF14" i="2"/>
  <c r="AR13" i="2"/>
  <c r="AO13" i="2"/>
  <c r="AL13" i="2"/>
  <c r="AI13" i="2"/>
  <c r="AF13" i="2"/>
  <c r="AR12" i="2"/>
  <c r="AO12" i="2"/>
  <c r="AL12" i="2"/>
  <c r="AI12" i="2"/>
  <c r="AF12" i="2"/>
  <c r="AR11" i="2"/>
  <c r="AO11" i="2"/>
  <c r="AL11" i="2"/>
  <c r="AI11" i="2"/>
  <c r="AF11" i="2"/>
  <c r="AR10" i="2"/>
  <c r="AO10" i="2"/>
  <c r="AL10" i="2"/>
  <c r="AI10" i="2"/>
  <c r="AF10" i="2"/>
  <c r="AR9" i="2"/>
  <c r="AO9" i="2"/>
  <c r="AL9" i="2"/>
  <c r="AI9" i="2"/>
  <c r="AF9" i="2"/>
  <c r="AR8" i="2"/>
  <c r="AO8" i="2"/>
  <c r="AL8" i="2"/>
  <c r="AI8" i="2"/>
  <c r="AF8" i="2"/>
  <c r="AR7" i="2"/>
  <c r="AO7" i="2"/>
  <c r="AL7" i="2"/>
  <c r="AI7" i="2"/>
  <c r="AF7" i="2"/>
  <c r="AR6" i="2"/>
  <c r="AO6" i="2"/>
  <c r="AL6" i="2"/>
  <c r="AI6" i="2"/>
  <c r="AF6" i="2"/>
  <c r="AR5" i="2"/>
  <c r="AO5" i="2"/>
  <c r="AL5" i="2"/>
  <c r="AI5" i="2"/>
  <c r="AF5" i="2"/>
  <c r="AR4" i="2"/>
  <c r="AO4" i="2"/>
  <c r="AL4" i="2"/>
  <c r="AI4" i="2"/>
  <c r="AF4" i="2"/>
  <c r="AR3" i="2"/>
  <c r="AO3" i="2"/>
  <c r="AL3" i="2"/>
  <c r="AI3" i="2"/>
  <c r="AF3" i="2"/>
  <c r="AR2" i="2"/>
  <c r="AO2" i="2"/>
  <c r="AL2" i="2"/>
  <c r="AI2" i="2"/>
  <c r="AF2" i="2"/>
  <c r="AR1" i="2"/>
  <c r="AO1" i="2"/>
  <c r="AL1" i="2"/>
  <c r="AI1" i="2"/>
  <c r="AF1" i="2"/>
  <c r="AC15" i="2"/>
  <c r="Z15" i="2"/>
  <c r="W15" i="2"/>
  <c r="T15" i="2"/>
  <c r="Q15" i="2"/>
  <c r="AC14" i="2"/>
  <c r="Z14" i="2"/>
  <c r="W14" i="2"/>
  <c r="T14" i="2"/>
  <c r="Q14" i="2"/>
  <c r="AC13" i="2"/>
  <c r="Z13" i="2"/>
  <c r="W13" i="2"/>
  <c r="T13" i="2"/>
  <c r="Q13" i="2"/>
  <c r="AC12" i="2"/>
  <c r="Z12" i="2"/>
  <c r="W12" i="2"/>
  <c r="T12" i="2"/>
  <c r="Q12" i="2"/>
  <c r="AC11" i="2"/>
  <c r="Z11" i="2"/>
  <c r="W11" i="2"/>
  <c r="T11" i="2"/>
  <c r="Q11" i="2"/>
  <c r="AC10" i="2"/>
  <c r="Z10" i="2"/>
  <c r="W10" i="2"/>
  <c r="T10" i="2"/>
  <c r="Q10" i="2"/>
  <c r="AC9" i="2"/>
  <c r="Z9" i="2"/>
  <c r="W9" i="2"/>
  <c r="T9" i="2"/>
  <c r="Q9" i="2"/>
  <c r="AC8" i="2"/>
  <c r="Z8" i="2"/>
  <c r="W8" i="2"/>
  <c r="T8" i="2"/>
  <c r="Q8" i="2"/>
  <c r="AC7" i="2"/>
  <c r="Z7" i="2"/>
  <c r="W7" i="2"/>
  <c r="T7" i="2"/>
  <c r="Q7" i="2"/>
  <c r="AC6" i="2"/>
  <c r="Z6" i="2"/>
  <c r="W6" i="2"/>
  <c r="T6" i="2"/>
  <c r="Q6" i="2"/>
  <c r="AC5" i="2"/>
  <c r="Z5" i="2"/>
  <c r="W5" i="2"/>
  <c r="T5" i="2"/>
  <c r="Q5" i="2"/>
  <c r="AC4" i="2"/>
  <c r="Z4" i="2"/>
  <c r="W4" i="2"/>
  <c r="T4" i="2"/>
  <c r="Q4" i="2"/>
  <c r="AC3" i="2"/>
  <c r="Z3" i="2"/>
  <c r="W3" i="2"/>
  <c r="T3" i="2"/>
  <c r="Q3" i="2"/>
  <c r="AC2" i="2"/>
  <c r="Z2" i="2"/>
  <c r="W2" i="2"/>
  <c r="T2" i="2"/>
  <c r="Q2" i="2"/>
  <c r="AC1" i="2"/>
  <c r="Z1" i="2"/>
  <c r="W1" i="2"/>
  <c r="T1" i="2"/>
  <c r="Q1" i="2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E1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H1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K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N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I5" i="1" l="1"/>
  <c r="I4" i="1"/>
  <c r="I6" i="1"/>
  <c r="I3" i="1"/>
  <c r="I2" i="1"/>
  <c r="I12" i="1"/>
  <c r="I11" i="1"/>
  <c r="I13" i="1"/>
  <c r="I10" i="1"/>
  <c r="I9" i="1"/>
  <c r="J17" i="1"/>
  <c r="J16" i="1"/>
  <c r="J20" i="1"/>
  <c r="J19" i="1"/>
  <c r="L13" i="1"/>
  <c r="L12" i="1"/>
  <c r="L11" i="1"/>
  <c r="L10" i="1"/>
  <c r="L9" i="1"/>
  <c r="J3" i="1"/>
  <c r="J2" i="1"/>
  <c r="J6" i="1"/>
  <c r="J5" i="1"/>
  <c r="K2" i="1"/>
  <c r="K3" i="1"/>
  <c r="K6" i="1"/>
  <c r="K4" i="1"/>
  <c r="K5" i="1"/>
  <c r="J10" i="1"/>
  <c r="J9" i="1"/>
  <c r="J13" i="1"/>
  <c r="J12" i="1"/>
  <c r="K16" i="1"/>
  <c r="K18" i="1"/>
  <c r="K17" i="1"/>
  <c r="K20" i="1"/>
  <c r="K19" i="1"/>
  <c r="H13" i="1"/>
  <c r="H12" i="1"/>
  <c r="H11" i="1"/>
  <c r="H9" i="1"/>
  <c r="H10" i="1"/>
  <c r="I19" i="1"/>
  <c r="I18" i="1"/>
  <c r="I17" i="1"/>
  <c r="I20" i="1"/>
  <c r="I16" i="1"/>
  <c r="L6" i="1"/>
  <c r="L5" i="1"/>
  <c r="L4" i="1"/>
  <c r="L3" i="1"/>
  <c r="L2" i="1"/>
  <c r="H6" i="1"/>
  <c r="H5" i="1"/>
  <c r="H4" i="1"/>
  <c r="H2" i="1"/>
  <c r="H3" i="1"/>
  <c r="K9" i="1"/>
  <c r="K10" i="1"/>
  <c r="K13" i="1"/>
  <c r="K11" i="1"/>
  <c r="K12" i="1"/>
  <c r="H20" i="1"/>
  <c r="H19" i="1"/>
  <c r="H18" i="1"/>
  <c r="H16" i="1"/>
  <c r="H17" i="1"/>
  <c r="L20" i="1"/>
  <c r="L19" i="1"/>
  <c r="L18" i="1"/>
  <c r="L17" i="1"/>
  <c r="L16" i="1"/>
  <c r="D13" i="1"/>
  <c r="F9" i="1"/>
  <c r="B18" i="1"/>
  <c r="F5" i="1"/>
  <c r="D5" i="1"/>
  <c r="D9" i="1"/>
  <c r="C13" i="1"/>
  <c r="B12" i="1"/>
  <c r="C18" i="1"/>
  <c r="B20" i="1"/>
  <c r="F16" i="1"/>
  <c r="C16" i="1"/>
  <c r="C17" i="1"/>
  <c r="E19" i="1"/>
  <c r="F6" i="1"/>
  <c r="D17" i="1"/>
  <c r="F13" i="1"/>
  <c r="F2" i="1"/>
  <c r="D10" i="1"/>
  <c r="F3" i="1"/>
  <c r="E9" i="1"/>
  <c r="E16" i="1"/>
  <c r="F20" i="1"/>
  <c r="C6" i="1"/>
  <c r="C5" i="1"/>
  <c r="E4" i="1"/>
  <c r="C4" i="1"/>
  <c r="B10" i="1"/>
  <c r="D3" i="1"/>
  <c r="F17" i="1"/>
  <c r="E6" i="1"/>
  <c r="D6" i="1"/>
  <c r="F12" i="1"/>
  <c r="C2" i="1"/>
  <c r="B9" i="1"/>
  <c r="F10" i="1"/>
  <c r="B17" i="1"/>
  <c r="E5" i="1"/>
  <c r="D2" i="1"/>
  <c r="B19" i="1"/>
  <c r="C11" i="1"/>
  <c r="E10" i="1"/>
  <c r="F18" i="1"/>
  <c r="B5" i="1"/>
  <c r="B16" i="1"/>
  <c r="F19" i="1"/>
  <c r="B11" i="1"/>
  <c r="B3" i="1"/>
  <c r="B2" i="1"/>
  <c r="E3" i="1"/>
  <c r="B13" i="1"/>
  <c r="B6" i="1"/>
  <c r="C10" i="1"/>
  <c r="E18" i="1"/>
  <c r="B4" i="1"/>
  <c r="F4" i="1"/>
  <c r="E12" i="1"/>
  <c r="C19" i="1"/>
  <c r="C20" i="1"/>
  <c r="D16" i="1"/>
  <c r="E2" i="1"/>
  <c r="D19" i="1"/>
  <c r="E20" i="1"/>
  <c r="C12" i="1"/>
  <c r="D20" i="1"/>
  <c r="C9" i="1"/>
  <c r="C3" i="1"/>
  <c r="D12" i="1"/>
  <c r="E13" i="1"/>
  <c r="E11" i="1"/>
  <c r="E17" i="1"/>
  <c r="F11" i="1"/>
  <c r="Q4" i="1"/>
  <c r="O5" i="1" s="1"/>
</calcChain>
</file>

<file path=xl/sharedStrings.xml><?xml version="1.0" encoding="utf-8"?>
<sst xmlns="http://schemas.openxmlformats.org/spreadsheetml/2006/main" count="110" uniqueCount="47">
  <si>
    <t>B</t>
  </si>
  <si>
    <t>I</t>
  </si>
  <si>
    <t>N</t>
  </si>
  <si>
    <t>G</t>
  </si>
  <si>
    <t>O</t>
  </si>
  <si>
    <t>Contextures Excel Tips Website</t>
  </si>
  <si>
    <t>Contextures Excel Blog</t>
  </si>
  <si>
    <t>Excel Pivot Tables Blog</t>
  </si>
  <si>
    <t>Contextures Recommends</t>
  </si>
  <si>
    <t>Jon Peltier's Excel Chart Utilities</t>
  </si>
  <si>
    <t>ExcelUser Dashboards</t>
  </si>
  <si>
    <t>Chandoo's Project Management Templates</t>
  </si>
  <si>
    <t>Debra's Pivot Table Books on Amazon</t>
  </si>
  <si>
    <t>30 Excel Functions in 30 Days eBook Kit</t>
  </si>
  <si>
    <t>PivotPower Premium Add-in</t>
  </si>
  <si>
    <t>UserForms for Data Entry ebook Kit</t>
  </si>
  <si>
    <t>Excel Courses Online</t>
  </si>
  <si>
    <t>Chandoo's Excel VBA School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</si>
  <si>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</si>
  <si>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</si>
  <si>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</si>
  <si>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</si>
  <si>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</si>
  <si>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Data Validation Multi-Select Premium Kit</t>
  </si>
  <si>
    <t>Select multiple items from a listbox, to enter in a single cell</t>
  </si>
  <si>
    <t>Sample workbook and easy to follow user guide for key Excel functions</t>
  </si>
  <si>
    <t>Create complex charts with just a few clicks</t>
  </si>
  <si>
    <t>Templates and instructions for impressive dashboards</t>
  </si>
  <si>
    <t>Xtreme Pivot Table Course</t>
  </si>
  <si>
    <t>Video training from beginner to advanced topics</t>
  </si>
  <si>
    <t>Power Pivot University</t>
  </si>
  <si>
    <t>Online course by Power Pivot expert Rob Collie</t>
  </si>
  <si>
    <t>Excel training by Mynda Treacy</t>
  </si>
  <si>
    <t>Become awesome in Excel VBA with Chandoo's online training</t>
  </si>
  <si>
    <t>Save time with Chandoo's templates for project management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</si>
  <si>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</si>
  <si>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</si>
  <si>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</si>
  <si>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</si>
  <si>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</si>
  <si>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</si>
  <si>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Pivot table books for Excel 2007</t>
  </si>
  <si>
    <t>Caiex</t>
    <phoneticPr fontId="2" type="noConversion"/>
  </si>
  <si>
    <t>Caiex</t>
    <phoneticPr fontId="2" type="noConversion"/>
  </si>
  <si>
    <t>Caiex</t>
  </si>
  <si>
    <t>Caiex</t>
    <phoneticPr fontId="2" type="noConversion"/>
  </si>
  <si>
    <r>
      <t>todo</t>
    </r>
    <r>
      <rPr>
        <b/>
        <sz val="14"/>
        <rFont val="宋体"/>
        <family val="3"/>
        <charset val="134"/>
      </rPr>
      <t xml:space="preserve">：
</t>
    </r>
    <r>
      <rPr>
        <b/>
        <sz val="14"/>
        <rFont val="Arial Narrow"/>
        <family val="2"/>
      </rPr>
      <t>1. auto generate bingo sheets (VBA)
2. auto append new popped number into number queue (VBA)
3. auto jump to next valid number (VBA)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</si>
</sst>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name val="Arial Narrow"/>
      <family val="2"/>
    </font>
    <font>
      <b/>
      <sz val="14"/>
      <name val="Arial Narrow"/>
      <family val="2"/>
    </font>
    <font>
      <sz val="8"/>
      <name val="Arial Narrow"/>
      <family val="2"/>
    </font>
    <font>
      <b/>
      <sz val="26"/>
      <name val="Arial Narrow"/>
      <family val="2"/>
    </font>
    <font>
      <sz val="26"/>
      <name val="Arial Narrow"/>
      <family val="2"/>
    </font>
    <font>
      <b/>
      <sz val="11"/>
      <name val="Arial Narrow"/>
      <family val="2"/>
    </font>
    <font>
      <sz val="12"/>
      <name val="Arial Narrow"/>
      <family val="2"/>
    </font>
    <font>
      <sz val="12"/>
      <name val="Arial Narrow"/>
      <family val="2"/>
    </font>
    <font>
      <sz val="10"/>
      <name val="Arial"/>
      <family val="2"/>
    </font>
    <font>
      <u/>
      <sz val="11"/>
      <color indexed="12"/>
      <name val="Arial Narrow"/>
      <family val="2"/>
    </font>
    <font>
      <sz val="9"/>
      <name val="宋体"/>
      <charset val="134"/>
    </font>
    <font>
      <i/>
      <sz val="18"/>
      <name val="Arial Narrow"/>
      <family val="2"/>
    </font>
    <font>
      <sz val="9"/>
      <name val="宋体"/>
      <charset val="134"/>
    </font>
    <font>
      <b/>
      <sz val="20"/>
      <name val="Arial Narrow"/>
      <family val="2"/>
    </font>
    <font>
      <u/>
      <sz val="11"/>
      <color indexed="12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4"/>
      <name val="宋体"/>
      <charset val="134"/>
      <scheme val="minor"/>
    </font>
    <font>
      <sz val="10"/>
      <name val="宋体"/>
      <charset val="134"/>
      <scheme val="minor"/>
    </font>
    <font>
      <sz val="11"/>
      <name val="宋体"/>
      <charset val="134"/>
      <scheme val="minor"/>
    </font>
    <font>
      <sz val="26"/>
      <color rgb="FF006100"/>
      <name val="Arial Unicode MS"/>
      <family val="2"/>
      <charset val="134"/>
    </font>
    <font>
      <b/>
      <sz val="400"/>
      <name val="Arial Narrow"/>
      <family val="2"/>
    </font>
    <font>
      <sz val="11"/>
      <name val="Arial Narrow"/>
      <family val="2"/>
    </font>
    <font>
      <b/>
      <sz val="14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</borders>
  <cellStyleXfs count="10">
    <xf numFmtId="0" fontId="0" fillId="0" borderId="0"/>
    <xf numFmtId="0" fontId="14" fillId="0" borderId="0" applyNumberFormat="0" applyFill="0" applyBorder="0" applyAlignment="0" applyProtection="0">
      <alignment horizontal="left" indent="1"/>
    </xf>
    <xf numFmtId="0" fontId="9" fillId="0" borderId="0" applyNumberForma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15" fillId="3" borderId="0" applyNumberFormat="0" applyBorder="0" applyAlignment="0" applyProtection="0"/>
    <xf numFmtId="0" fontId="21" fillId="4" borderId="10" applyNumberFormat="0" applyFont="0" applyAlignment="0" applyProtection="0">
      <alignment vertical="center"/>
    </xf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2" xfId="0" applyFont="1" applyBorder="1"/>
    <xf numFmtId="0" fontId="5" fillId="0" borderId="0" xfId="0" applyFont="1" applyBorder="1"/>
    <xf numFmtId="0" fontId="5" fillId="0" borderId="5" xfId="0" applyFont="1" applyBorder="1"/>
    <xf numFmtId="0" fontId="6" fillId="0" borderId="0" xfId="4"/>
    <xf numFmtId="0" fontId="8" fillId="0" borderId="0" xfId="7"/>
    <xf numFmtId="0" fontId="6" fillId="0" borderId="0" xfId="5"/>
    <xf numFmtId="0" fontId="6" fillId="0" borderId="0" xfId="5" applyAlignment="1">
      <alignment horizontal="left"/>
    </xf>
    <xf numFmtId="0" fontId="16" fillId="0" borderId="0" xfId="5" applyFont="1" applyAlignment="1">
      <alignment horizontal="left"/>
    </xf>
    <xf numFmtId="0" fontId="17" fillId="0" borderId="0" xfId="5" applyFont="1" applyAlignment="1">
      <alignment horizontal="left"/>
    </xf>
    <xf numFmtId="0" fontId="14" fillId="0" borderId="0" xfId="1" applyAlignment="1" applyProtection="1">
      <alignment horizontal="left" indent="1"/>
    </xf>
    <xf numFmtId="0" fontId="18" fillId="0" borderId="0" xfId="5" applyFont="1" applyAlignment="1">
      <alignment horizontal="left"/>
    </xf>
    <xf numFmtId="0" fontId="18" fillId="0" borderId="0" xfId="4" applyFont="1" applyAlignment="1">
      <alignment horizontal="left"/>
    </xf>
    <xf numFmtId="0" fontId="11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19" fillId="3" borderId="0" xfId="8" applyFont="1" applyAlignment="1">
      <alignment horizontal="center"/>
    </xf>
    <xf numFmtId="0" fontId="20" fillId="4" borderId="10" xfId="9" applyFont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</cellXfs>
  <cellStyles count="10">
    <cellStyle name="Ctx_Hyperlink" xfId="1"/>
    <cellStyle name="Hyperlink 2" xfId="2"/>
    <cellStyle name="Normal 2" xfId="3"/>
    <cellStyle name="Normal 2 2" xfId="4"/>
    <cellStyle name="Normal 2 3 2" xfId="5"/>
    <cellStyle name="Normal 3" xfId="6"/>
    <cellStyle name="Normal 4" xfId="7"/>
    <cellStyle name="常规" xfId="0" builtinId="0"/>
    <cellStyle name="好" xfId="8" builtinId="26"/>
    <cellStyle name="注释" xfId="9" builtinId="10"/>
  </cellStyles>
  <dxfs count="4"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  <dxf>
      <font>
        <b val="0"/>
        <i/>
        <strike val="0"/>
        <color theme="5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othresource.com/104-5-3-6.html" TargetMode="External"/><Relationship Id="rId13" Type="http://schemas.openxmlformats.org/officeDocument/2006/relationships/hyperlink" Target="http://www.amazon.com/gp/redirect.html?ie=UTF8&amp;location=http%3A%2F%2Fwww.amazon.com%2Fgp%2Fentity%2FDebra-Dalgleish%2FB001JP9TSO%3Fie%3DUTF8%26ref_%3Dntt_athr_dp_pel_1&amp;tag=contextures-20&amp;linkCode=ur2&amp;camp=1789&amp;creative=390957" TargetMode="External"/><Relationship Id="rId18" Type="http://schemas.openxmlformats.org/officeDocument/2006/relationships/printerSettings" Target="../printerSettings/printerSettings4.bin"/><Relationship Id="rId3" Type="http://schemas.openxmlformats.org/officeDocument/2006/relationships/hyperlink" Target="http://goo.gl/iyM0A" TargetMode="External"/><Relationship Id="rId7" Type="http://schemas.openxmlformats.org/officeDocument/2006/relationships/hyperlink" Target="http://www.contextures.com/exceluserformsfordataentry.html" TargetMode="External"/><Relationship Id="rId12" Type="http://schemas.openxmlformats.org/officeDocument/2006/relationships/hyperlink" Target="http://blog.contextures.com/" TargetMode="External"/><Relationship Id="rId17" Type="http://schemas.openxmlformats.org/officeDocument/2006/relationships/hyperlink" Target="http://www.contextures.com/excelnewslettersignup.html" TargetMode="External"/><Relationship Id="rId2" Type="http://schemas.openxmlformats.org/officeDocument/2006/relationships/hyperlink" Target="http://goo.gl/X5yk7" TargetMode="External"/><Relationship Id="rId16" Type="http://schemas.openxmlformats.org/officeDocument/2006/relationships/hyperlink" Target="https://getdpd.com/cart/hoplink/18753?referrer=12k7a5cl5zsgscs4" TargetMode="External"/><Relationship Id="rId1" Type="http://schemas.openxmlformats.org/officeDocument/2006/relationships/hyperlink" Target="http://goo.gl/72kR1" TargetMode="External"/><Relationship Id="rId6" Type="http://schemas.openxmlformats.org/officeDocument/2006/relationships/hyperlink" Target="http://www.contextures.com/xlPivotPremAddIn.html" TargetMode="External"/><Relationship Id="rId11" Type="http://schemas.openxmlformats.org/officeDocument/2006/relationships/hyperlink" Target="http://www.pivot-table.com/" TargetMode="External"/><Relationship Id="rId5" Type="http://schemas.openxmlformats.org/officeDocument/2006/relationships/hyperlink" Target="http://www.contextures.com/30excelfunctionsin30days01.html" TargetMode="External"/><Relationship Id="rId15" Type="http://schemas.openxmlformats.org/officeDocument/2006/relationships/hyperlink" Target="http://ppvt.pro/1fAo0iY" TargetMode="External"/><Relationship Id="rId10" Type="http://schemas.openxmlformats.org/officeDocument/2006/relationships/hyperlink" Target="http://www.contextures.com/tiptech.html" TargetMode="External"/><Relationship Id="rId4" Type="http://schemas.openxmlformats.org/officeDocument/2006/relationships/hyperlink" Target="http://goo.gl/rJ6KH" TargetMode="External"/><Relationship Id="rId9" Type="http://schemas.openxmlformats.org/officeDocument/2006/relationships/hyperlink" Target="http://www.contextures.com/exceltoolsaddin.html" TargetMode="External"/><Relationship Id="rId14" Type="http://schemas.openxmlformats.org/officeDocument/2006/relationships/hyperlink" Target="http://www.contextures.com/datavalidationmultiselectpremiu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K21"/>
  <sheetViews>
    <sheetView showGridLines="0" zoomScale="55" zoomScaleNormal="55" zoomScaleSheetLayoutView="55" workbookViewId="0">
      <selection sqref="A1:L1048576"/>
    </sheetView>
  </sheetViews>
  <sheetFormatPr defaultRowHeight="33.75"/>
  <cols>
    <col min="1" max="1" width="4.140625" customWidth="1"/>
    <col min="2" max="6" width="13.85546875" style="5" customWidth="1"/>
    <col min="7" max="7" width="3.140625" customWidth="1"/>
    <col min="8" max="12" width="13.85546875" style="5" customWidth="1"/>
    <col min="13" max="13" width="4.140625" customWidth="1"/>
    <col min="14" max="14" width="14.85546875" customWidth="1"/>
    <col min="15" max="89" width="8.140625" customWidth="1"/>
  </cols>
  <sheetData>
    <row r="1" spans="2:89" s="3" customFormat="1" ht="60" customHeight="1"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N1" s="5" t="str">
        <f ca="1">MID(CELL("filename",A1),FIND("]",CELL("filename",A1))+1,255)</f>
        <v>Cards</v>
      </c>
      <c r="O1" s="30">
        <v>1</v>
      </c>
      <c r="P1" s="30">
        <v>2</v>
      </c>
      <c r="Q1" s="30">
        <v>3</v>
      </c>
      <c r="R1" s="30">
        <v>4</v>
      </c>
      <c r="S1" s="30">
        <v>5</v>
      </c>
      <c r="T1" s="30">
        <v>6</v>
      </c>
      <c r="U1" s="30">
        <v>7</v>
      </c>
      <c r="V1" s="30">
        <v>8</v>
      </c>
      <c r="W1" s="30">
        <v>9</v>
      </c>
      <c r="X1" s="30">
        <v>10</v>
      </c>
      <c r="Y1" s="30">
        <v>11</v>
      </c>
      <c r="Z1" s="30">
        <v>12</v>
      </c>
      <c r="AA1" s="30">
        <v>13</v>
      </c>
      <c r="AB1" s="30">
        <v>14</v>
      </c>
      <c r="AC1" s="30">
        <v>15</v>
      </c>
      <c r="AD1" s="30">
        <v>16</v>
      </c>
      <c r="AE1" s="30">
        <v>17</v>
      </c>
      <c r="AF1" s="30">
        <v>18</v>
      </c>
      <c r="AG1" s="30">
        <v>19</v>
      </c>
      <c r="AH1" s="30">
        <v>20</v>
      </c>
      <c r="AI1" s="30">
        <v>21</v>
      </c>
      <c r="AJ1" s="30">
        <v>22</v>
      </c>
      <c r="AK1" s="30">
        <v>23</v>
      </c>
      <c r="AL1" s="30">
        <v>24</v>
      </c>
      <c r="AM1" s="30">
        <v>25</v>
      </c>
      <c r="AN1" s="30">
        <v>26</v>
      </c>
      <c r="AO1" s="30">
        <v>27</v>
      </c>
      <c r="AP1" s="30">
        <v>28</v>
      </c>
      <c r="AQ1" s="30">
        <v>29</v>
      </c>
      <c r="AR1" s="30">
        <v>30</v>
      </c>
      <c r="AS1" s="30">
        <v>31</v>
      </c>
      <c r="AT1" s="30">
        <v>32</v>
      </c>
      <c r="AU1" s="30">
        <v>33</v>
      </c>
      <c r="AV1" s="30">
        <v>34</v>
      </c>
      <c r="AW1" s="30">
        <v>35</v>
      </c>
      <c r="AX1" s="30">
        <v>36</v>
      </c>
      <c r="AY1" s="30">
        <v>37</v>
      </c>
      <c r="AZ1" s="30">
        <v>38</v>
      </c>
      <c r="BA1" s="30">
        <v>39</v>
      </c>
      <c r="BB1" s="30">
        <v>40</v>
      </c>
      <c r="BC1" s="30">
        <v>41</v>
      </c>
      <c r="BD1" s="30">
        <v>42</v>
      </c>
      <c r="BE1" s="30">
        <v>43</v>
      </c>
      <c r="BF1" s="30">
        <v>44</v>
      </c>
      <c r="BG1" s="30">
        <v>45</v>
      </c>
      <c r="BH1" s="30">
        <v>46</v>
      </c>
      <c r="BI1" s="30">
        <v>47</v>
      </c>
      <c r="BJ1" s="30">
        <v>48</v>
      </c>
      <c r="BK1" s="30">
        <v>49</v>
      </c>
      <c r="BL1" s="30">
        <v>50</v>
      </c>
      <c r="BM1" s="30">
        <v>51</v>
      </c>
      <c r="BN1" s="30">
        <v>52</v>
      </c>
      <c r="BO1" s="30">
        <v>53</v>
      </c>
      <c r="BP1" s="30">
        <v>54</v>
      </c>
      <c r="BQ1" s="30">
        <v>55</v>
      </c>
      <c r="BR1" s="30">
        <v>56</v>
      </c>
      <c r="BS1" s="30">
        <v>57</v>
      </c>
      <c r="BT1" s="30">
        <v>58</v>
      </c>
      <c r="BU1" s="30">
        <v>59</v>
      </c>
      <c r="BV1" s="30">
        <v>60</v>
      </c>
      <c r="BW1" s="30">
        <v>61</v>
      </c>
      <c r="BX1" s="30">
        <v>62</v>
      </c>
      <c r="BY1" s="30">
        <v>63</v>
      </c>
      <c r="BZ1" s="30">
        <v>64</v>
      </c>
      <c r="CA1" s="30">
        <v>65</v>
      </c>
      <c r="CB1" s="30">
        <v>66</v>
      </c>
      <c r="CC1" s="30">
        <v>67</v>
      </c>
      <c r="CD1" s="30">
        <v>68</v>
      </c>
      <c r="CE1" s="30">
        <v>69</v>
      </c>
      <c r="CF1" s="30">
        <v>70</v>
      </c>
      <c r="CG1" s="30">
        <v>71</v>
      </c>
      <c r="CH1" s="30">
        <v>72</v>
      </c>
      <c r="CI1" s="30">
        <v>73</v>
      </c>
      <c r="CJ1" s="30">
        <v>74</v>
      </c>
      <c r="CK1" s="30">
        <v>75</v>
      </c>
    </row>
    <row r="2" spans="2:89" s="4" customFormat="1" ht="60" customHeight="1">
      <c r="B2" s="29">
        <f ca="1">INDEX(Numbers!$A$1:$A$15,MATCH(LARGE(Numbers!$B$1:$B$15,ROW()-1),Numbers!$B$1:$B$15,0))</f>
        <v>11</v>
      </c>
      <c r="C2" s="29">
        <f ca="1">INDEX(Numbers!$D$1:$D$15,MATCH(LARGE(Numbers!$E$1:$E$15,ROW()-1),Numbers!$E$1:$E$15,0))</f>
        <v>24</v>
      </c>
      <c r="D2" s="29">
        <f ca="1">INDEX(Numbers!$G$1:$G$15,MATCH(LARGE(Numbers!$H$1:$H$15,ROW()-1),Numbers!$H$1:$H$15,0))</f>
        <v>33</v>
      </c>
      <c r="E2" s="29">
        <f ca="1">INDEX(Numbers!$J$1:$J$15,MATCH(LARGE(Numbers!$K$1:$K$15,ROW()-1),Numbers!$K$1:$K$15,0))</f>
        <v>47</v>
      </c>
      <c r="F2" s="29">
        <f ca="1">INDEX(Numbers!$M$1:$M$15,MATCH(LARGE(Numbers!$N$1:$N$15,ROW()-1),Numbers!$N$1:$N$15,0))</f>
        <v>74</v>
      </c>
      <c r="G2" s="29"/>
      <c r="H2" s="29">
        <f ca="1">INDEX(Numbers!$A$15:$A$35,MATCH(LARGE(Numbers!$B$15:$B$35,ROW()-1),Numbers!$B$15:$B$35,0))</f>
        <v>11</v>
      </c>
      <c r="I2" s="29">
        <f ca="1">INDEX(Numbers!$D$15:$D$35,MATCH(LARGE(Numbers!$E$15:$E$35,ROW()-1),Numbers!$E$15:$E$35,0))</f>
        <v>25</v>
      </c>
      <c r="J2" s="29">
        <f ca="1">INDEX(Numbers!$G$15:$G$35,MATCH(LARGE(Numbers!$H$15:$H$35,ROW()-1),Numbers!$H$15:$H$35,0))</f>
        <v>35</v>
      </c>
      <c r="K2" s="29">
        <f ca="1">INDEX(Numbers!$J$15:$J$35,MATCH(LARGE(Numbers!$K$15:$K$35,ROW()-1),Numbers!$K$15:$K$35,0))</f>
        <v>47</v>
      </c>
      <c r="L2" s="29">
        <f ca="1">INDEX(Numbers!$M$15:$M$35,MATCH(LARGE(Numbers!$N$15:$N$35,ROW()-1),Numbers!$N$15:$N$35,0))</f>
        <v>74</v>
      </c>
      <c r="O2" s="2">
        <v>1</v>
      </c>
      <c r="P2" s="2">
        <v>3</v>
      </c>
      <c r="Q2" s="2">
        <v>5</v>
      </c>
      <c r="R2" s="2">
        <v>7</v>
      </c>
      <c r="S2" s="2">
        <v>9</v>
      </c>
      <c r="T2" s="2">
        <v>11</v>
      </c>
      <c r="U2" s="2">
        <v>13</v>
      </c>
      <c r="V2" s="2">
        <v>15</v>
      </c>
      <c r="W2" s="2">
        <v>17</v>
      </c>
      <c r="X2" s="2">
        <v>19</v>
      </c>
      <c r="Y2" s="2">
        <v>21</v>
      </c>
      <c r="Z2" s="2">
        <v>23</v>
      </c>
      <c r="AA2" s="2">
        <v>25</v>
      </c>
      <c r="AB2" s="2">
        <v>27</v>
      </c>
      <c r="AC2" s="2">
        <v>29</v>
      </c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</row>
    <row r="3" spans="2:89" s="4" customFormat="1" ht="60" customHeight="1">
      <c r="B3" s="29">
        <f ca="1">INDEX(Numbers!$A$1:$A$15,MATCH(LARGE(Numbers!$B$1:$B$15,ROW()-1),Numbers!$B$1:$B$15,0))</f>
        <v>1</v>
      </c>
      <c r="C3" s="29">
        <f ca="1">INDEX(Numbers!$D$1:$D$15,MATCH(LARGE(Numbers!$E$1:$E$15,ROW()-1),Numbers!$E$1:$E$15,0))</f>
        <v>23</v>
      </c>
      <c r="D3" s="29">
        <f ca="1">INDEX(Numbers!$G$1:$G$15,MATCH(LARGE(Numbers!$H$1:$H$15,ROW()-1),Numbers!$H$1:$H$15,0))</f>
        <v>32</v>
      </c>
      <c r="E3" s="29">
        <f ca="1">INDEX(Numbers!$J$1:$J$15,MATCH(LARGE(Numbers!$K$1:$K$15,ROW()-1),Numbers!$K$1:$K$15,0))</f>
        <v>55</v>
      </c>
      <c r="F3" s="29">
        <f ca="1">INDEX(Numbers!$M$1:$M$15,MATCH(LARGE(Numbers!$N$1:$N$15,ROW()-1),Numbers!$N$1:$N$15,0))</f>
        <v>73</v>
      </c>
      <c r="G3" s="29"/>
      <c r="H3" s="29">
        <f ca="1">INDEX(Numbers!$A$15:$A$35,MATCH(LARGE(Numbers!$B$15:$B$35,ROW()-1),Numbers!$B$15:$B$35,0))</f>
        <v>14</v>
      </c>
      <c r="I3" s="29">
        <f ca="1">INDEX(Numbers!$D$15:$D$35,MATCH(LARGE(Numbers!$E$15:$E$35,ROW()-1),Numbers!$E$15:$E$35,0))</f>
        <v>29</v>
      </c>
      <c r="J3" s="29">
        <f ca="1">INDEX(Numbers!$G$15:$G$35,MATCH(LARGE(Numbers!$H$15:$H$35,ROW()-1),Numbers!$H$15:$H$35,0))</f>
        <v>41</v>
      </c>
      <c r="K3" s="29">
        <f ca="1">INDEX(Numbers!$J$15:$J$35,MATCH(LARGE(Numbers!$K$15:$K$35,ROW()-1),Numbers!$K$15:$K$35,0))</f>
        <v>49</v>
      </c>
      <c r="L3" s="29">
        <f ca="1">INDEX(Numbers!$M$15:$M$35,MATCH(LARGE(Numbers!$N$15:$N$35,ROW()-1),Numbers!$N$15:$N$35,0))</f>
        <v>67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BA3"/>
    </row>
    <row r="4" spans="2:89" s="4" customFormat="1" ht="60" customHeight="1">
      <c r="B4" s="29">
        <f ca="1">INDEX(Numbers!$A$1:$A$15,MATCH(LARGE(Numbers!$B$1:$B$15,ROW()-1),Numbers!$B$1:$B$15,0))</f>
        <v>8</v>
      </c>
      <c r="C4" s="29">
        <f ca="1">INDEX(Numbers!$D$1:$D$15,MATCH(LARGE(Numbers!$E$1:$E$15,ROW()-1),Numbers!$E$1:$E$15,0))</f>
        <v>26</v>
      </c>
      <c r="D4" s="29" t="s">
        <v>42</v>
      </c>
      <c r="E4" s="29">
        <f ca="1">INDEX(Numbers!$J$1:$J$15,MATCH(LARGE(Numbers!$K$1:$K$15,ROW()-1),Numbers!$K$1:$K$15,0))</f>
        <v>50</v>
      </c>
      <c r="F4" s="29">
        <f ca="1">INDEX(Numbers!$M$1:$M$15,MATCH(LARGE(Numbers!$N$1:$N$15,ROW()-1),Numbers!$N$1:$N$15,0))</f>
        <v>67</v>
      </c>
      <c r="G4" s="29"/>
      <c r="H4" s="29">
        <f ca="1">INDEX(Numbers!$A$15:$A$35,MATCH(LARGE(Numbers!$B$15:$B$35,ROW()-1),Numbers!$B$15:$B$35,0))</f>
        <v>12</v>
      </c>
      <c r="I4" s="29">
        <f ca="1">INDEX(Numbers!$D$15:$D$35,MATCH(LARGE(Numbers!$E$15:$E$35,ROW()-1),Numbers!$E$15:$E$35,0))</f>
        <v>23</v>
      </c>
      <c r="J4" s="29" t="s">
        <v>43</v>
      </c>
      <c r="K4" s="29">
        <f ca="1">INDEX(Numbers!$J$15:$J$35,MATCH(LARGE(Numbers!$K$15:$K$35,ROW()-1),Numbers!$K$15:$K$35,0))</f>
        <v>60</v>
      </c>
      <c r="L4" s="29">
        <f ca="1">INDEX(Numbers!$M$15:$M$35,MATCH(LARGE(Numbers!$N$15:$N$35,ROW()-1),Numbers!$N$15:$N$35,0))</f>
        <v>61</v>
      </c>
      <c r="O4" s="32">
        <f ca="1">RANDBETWEEN(1,75)</f>
        <v>17</v>
      </c>
      <c r="P4" s="32"/>
      <c r="Q4" s="33">
        <f ca="1">MATCH(O4,$O$2:$AR$2,0)</f>
        <v>9</v>
      </c>
      <c r="R4" s="3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BA4"/>
    </row>
    <row r="5" spans="2:89" s="4" customFormat="1" ht="60" customHeight="1">
      <c r="B5" s="29">
        <f ca="1">INDEX(Numbers!$A$1:$A$15,MATCH(LARGE(Numbers!$B$1:$B$15,ROW()-1),Numbers!$B$1:$B$15,0))</f>
        <v>6</v>
      </c>
      <c r="C5" s="29">
        <f ca="1">INDEX(Numbers!$D$1:$D$15,MATCH(LARGE(Numbers!$E$1:$E$15,ROW()-1),Numbers!$E$1:$E$15,0))</f>
        <v>30</v>
      </c>
      <c r="D5" s="29">
        <f ca="1">INDEX(Numbers!$G$1:$G$15,MATCH(LARGE(Numbers!$H$1:$H$15,ROW()-1),Numbers!$H$1:$H$15,0))</f>
        <v>36</v>
      </c>
      <c r="E5" s="29">
        <f ca="1">INDEX(Numbers!$J$1:$J$15,MATCH(LARGE(Numbers!$K$1:$K$15,ROW()-1),Numbers!$K$1:$K$15,0))</f>
        <v>60</v>
      </c>
      <c r="F5" s="29">
        <f ca="1">INDEX(Numbers!$M$1:$M$15,MATCH(LARGE(Numbers!$N$1:$N$15,ROW()-1),Numbers!$N$1:$N$15,0))</f>
        <v>70</v>
      </c>
      <c r="G5" s="29"/>
      <c r="H5" s="29">
        <f ca="1">INDEX(Numbers!$A$15:$A$35,MATCH(LARGE(Numbers!$B$15:$B$35,ROW()-1),Numbers!$B$15:$B$35,0))</f>
        <v>15</v>
      </c>
      <c r="I5" s="29">
        <f ca="1">INDEX(Numbers!$D$15:$D$35,MATCH(LARGE(Numbers!$E$15:$E$35,ROW()-1),Numbers!$E$15:$E$35,0))</f>
        <v>24</v>
      </c>
      <c r="J5" s="29">
        <f ca="1">INDEX(Numbers!$G$15:$G$35,MATCH(LARGE(Numbers!$H$15:$H$35,ROW()-1),Numbers!$H$15:$H$35,0))</f>
        <v>42</v>
      </c>
      <c r="K5" s="29">
        <f ca="1">INDEX(Numbers!$J$15:$J$35,MATCH(LARGE(Numbers!$K$15:$K$35,ROW()-1),Numbers!$K$15:$K$35,0))</f>
        <v>52</v>
      </c>
      <c r="L5" s="29">
        <f ca="1">INDEX(Numbers!$M$15:$M$35,MATCH(LARGE(Numbers!$N$15:$N$35,ROW()-1),Numbers!$N$15:$N$35,0))</f>
        <v>75</v>
      </c>
      <c r="O5" s="31" t="str">
        <f ca="1">IF(NOT(ISNA(Q4)),"",O4)</f>
        <v/>
      </c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S5"/>
      <c r="BA5"/>
    </row>
    <row r="6" spans="2:89" s="4" customFormat="1" ht="60" customHeight="1">
      <c r="B6" s="29">
        <f ca="1">INDEX(Numbers!$A$1:$A$15,MATCH(LARGE(Numbers!$B$1:$B$15,ROW()-1),Numbers!$B$1:$B$15,0))</f>
        <v>2</v>
      </c>
      <c r="C6" s="29">
        <f ca="1">INDEX(Numbers!$D$1:$D$15,MATCH(LARGE(Numbers!$E$1:$E$15,ROW()-1),Numbers!$E$1:$E$15,0))</f>
        <v>27</v>
      </c>
      <c r="D6" s="29">
        <f ca="1">INDEX(Numbers!$G$1:$G$15,MATCH(LARGE(Numbers!$H$1:$H$15,ROW()-1),Numbers!$H$1:$H$15,0))</f>
        <v>34</v>
      </c>
      <c r="E6" s="29">
        <f ca="1">INDEX(Numbers!$J$1:$J$15,MATCH(LARGE(Numbers!$K$1:$K$15,ROW()-1),Numbers!$K$1:$K$15,0))</f>
        <v>56</v>
      </c>
      <c r="F6" s="29">
        <f ca="1">INDEX(Numbers!$M$1:$M$15,MATCH(LARGE(Numbers!$N$1:$N$15,ROW()-1),Numbers!$N$1:$N$15,0))</f>
        <v>72</v>
      </c>
      <c r="G6" s="29"/>
      <c r="H6" s="29">
        <f ca="1">INDEX(Numbers!$A$15:$A$35,MATCH(LARGE(Numbers!$B$15:$B$35,ROW()-1),Numbers!$B$15:$B$35,0))</f>
        <v>9</v>
      </c>
      <c r="I6" s="29">
        <f ca="1">INDEX(Numbers!$D$15:$D$35,MATCH(LARGE(Numbers!$E$15:$E$35,ROW()-1),Numbers!$E$15:$E$35,0))</f>
        <v>16</v>
      </c>
      <c r="J6" s="29">
        <f ca="1">INDEX(Numbers!$G$15:$G$35,MATCH(LARGE(Numbers!$H$15:$H$35,ROW()-1),Numbers!$H$15:$H$35,0))</f>
        <v>33</v>
      </c>
      <c r="K6" s="29">
        <f ca="1">INDEX(Numbers!$J$15:$J$35,MATCH(LARGE(Numbers!$K$15:$K$35,ROW()-1),Numbers!$K$15:$K$35,0))</f>
        <v>50</v>
      </c>
      <c r="L6" s="29">
        <f ca="1">INDEX(Numbers!$M$15:$M$35,MATCH(LARGE(Numbers!$N$15:$N$35,ROW()-1),Numbers!$N$15:$N$35,0))</f>
        <v>72</v>
      </c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S6"/>
      <c r="BA6"/>
    </row>
    <row r="7" spans="2:89" ht="19.5" customHeight="1"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2:89" s="1" customFormat="1" ht="60" customHeight="1"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S8"/>
      <c r="BA8"/>
    </row>
    <row r="9" spans="2:89" s="1" customFormat="1" ht="60" customHeight="1">
      <c r="B9" s="29">
        <f ca="1">INDEX(Numbers!$P$1:$P$15,MATCH(LARGE(Numbers!$Q$1:$Q$15,ROW()-3),Numbers!$Q$1:$Q$15,0))</f>
        <v>10</v>
      </c>
      <c r="C9" s="29">
        <f ca="1">INDEX(Numbers!$S$1:$S$15,MATCH(LARGE(Numbers!$T$1:$T$15,ROW()-3),Numbers!$T$1:$T$15,0))</f>
        <v>18</v>
      </c>
      <c r="D9" s="29">
        <f ca="1">INDEX(Numbers!$V$1:$V$15,MATCH(LARGE(Numbers!$W$1:$W$15,ROW()-3),Numbers!$W$1:$W$15,0))</f>
        <v>34</v>
      </c>
      <c r="E9" s="29">
        <f ca="1">INDEX(Numbers!$Y$1:$Y$15,MATCH(LARGE(Numbers!$Z$1:$Z$15,ROW()-3),Numbers!$Z$1:$Z$15,0))</f>
        <v>52</v>
      </c>
      <c r="F9" s="29">
        <f ca="1">INDEX(Numbers!$AB$1:$AB$15,MATCH(LARGE(Numbers!$AC$1:$AC$15,ROW()-3),Numbers!$AC$1:$AC$15,0))</f>
        <v>62</v>
      </c>
      <c r="G9" s="29"/>
      <c r="H9" s="29">
        <f ca="1">INDEX(Numbers!$P$15:$P$35,MATCH(LARGE(Numbers!$Q$15:$Q$35,ROW()-3),Numbers!$Q$15:$Q$35,0))</f>
        <v>10</v>
      </c>
      <c r="I9" s="29">
        <f ca="1">INDEX(Numbers!$S$15:$S$35,MATCH(LARGE(Numbers!$T$15:$T$35,ROW()-3),Numbers!$T$15:$T$35,0))</f>
        <v>16</v>
      </c>
      <c r="J9" s="29">
        <f ca="1">INDEX(Numbers!$V$15:$V$35,MATCH(LARGE(Numbers!$W$15:$W$35,ROW()-3),Numbers!$W$15:$W$35,0))</f>
        <v>37</v>
      </c>
      <c r="K9" s="29">
        <f ca="1">INDEX(Numbers!$Y$15:$Y$35,MATCH(LARGE(Numbers!$Z$15:$Z$35,ROW()-3),Numbers!$Z$15:$Z$35,0))</f>
        <v>55</v>
      </c>
      <c r="L9" s="29">
        <f ca="1">INDEX(Numbers!$AB$15:$AB$35,MATCH(LARGE(Numbers!$AC$15:$AC$35,ROW()-3),Numbers!$AC$15:$AC$35,0))</f>
        <v>63</v>
      </c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S9"/>
      <c r="BA9"/>
    </row>
    <row r="10" spans="2:89" s="1" customFormat="1" ht="60" customHeight="1">
      <c r="B10" s="29">
        <f ca="1">INDEX(Numbers!$P$1:$P$15,MATCH(LARGE(Numbers!$Q$1:$Q$15,ROW()-3),Numbers!$Q$1:$Q$15,0))</f>
        <v>6</v>
      </c>
      <c r="C10" s="29">
        <f ca="1">INDEX(Numbers!$S$1:$S$15,MATCH(LARGE(Numbers!$T$1:$T$15,ROW()-3),Numbers!$T$1:$T$15,0))</f>
        <v>27</v>
      </c>
      <c r="D10" s="29">
        <f ca="1">INDEX(Numbers!$V$1:$V$15,MATCH(LARGE(Numbers!$W$1:$W$15,ROW()-3),Numbers!$W$1:$W$15,0))</f>
        <v>40</v>
      </c>
      <c r="E10" s="29">
        <f ca="1">INDEX(Numbers!$Y$1:$Y$15,MATCH(LARGE(Numbers!$Z$1:$Z$15,ROW()-3),Numbers!$Z$1:$Z$15,0))</f>
        <v>57</v>
      </c>
      <c r="F10" s="29">
        <f ca="1">INDEX(Numbers!$AB$1:$AB$15,MATCH(LARGE(Numbers!$AC$1:$AC$15,ROW()-3),Numbers!$AC$1:$AC$15,0))</f>
        <v>70</v>
      </c>
      <c r="G10" s="29"/>
      <c r="H10" s="29">
        <f ca="1">INDEX(Numbers!$P$15:$P$35,MATCH(LARGE(Numbers!$Q$15:$Q$35,ROW()-3),Numbers!$Q$15:$Q$35,0))</f>
        <v>15</v>
      </c>
      <c r="I10" s="29">
        <f ca="1">INDEX(Numbers!$S$15:$S$35,MATCH(LARGE(Numbers!$T$15:$T$35,ROW()-3),Numbers!$T$15:$T$35,0))</f>
        <v>21</v>
      </c>
      <c r="J10" s="29">
        <f ca="1">INDEX(Numbers!$V$15:$V$35,MATCH(LARGE(Numbers!$W$15:$W$35,ROW()-3),Numbers!$W$15:$W$35,0))</f>
        <v>44</v>
      </c>
      <c r="K10" s="29">
        <f ca="1">INDEX(Numbers!$Y$15:$Y$35,MATCH(LARGE(Numbers!$Z$15:$Z$35,ROW()-3),Numbers!$Z$15:$Z$35,0))</f>
        <v>46</v>
      </c>
      <c r="L10" s="29">
        <f ca="1">INDEX(Numbers!$AB$15:$AB$35,MATCH(LARGE(Numbers!$AC$15:$AC$35,ROW()-3),Numbers!$AC$15:$AC$35,0))</f>
        <v>75</v>
      </c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S10"/>
      <c r="BA10"/>
    </row>
    <row r="11" spans="2:89" s="1" customFormat="1" ht="60" customHeight="1">
      <c r="B11" s="29">
        <f ca="1">INDEX(Numbers!$P$1:$P$15,MATCH(LARGE(Numbers!$Q$1:$Q$15,ROW()-3),Numbers!$Q$1:$Q$15,0))</f>
        <v>1</v>
      </c>
      <c r="C11" s="29">
        <f ca="1">INDEX(Numbers!$S$1:$S$15,MATCH(LARGE(Numbers!$T$1:$T$15,ROW()-3),Numbers!$T$1:$T$15,0))</f>
        <v>28</v>
      </c>
      <c r="D11" s="29" t="s">
        <v>42</v>
      </c>
      <c r="E11" s="29">
        <f ca="1">INDEX(Numbers!$Y$1:$Y$15,MATCH(LARGE(Numbers!$Z$1:$Z$15,ROW()-3),Numbers!$Z$1:$Z$15,0))</f>
        <v>55</v>
      </c>
      <c r="F11" s="29">
        <f ca="1">INDEX(Numbers!$AB$1:$AB$15,MATCH(LARGE(Numbers!$AC$1:$AC$15,ROW()-3),Numbers!$AC$1:$AC$15,0))</f>
        <v>67</v>
      </c>
      <c r="G11" s="29"/>
      <c r="H11" s="29">
        <f ca="1">INDEX(Numbers!$P$15:$P$35,MATCH(LARGE(Numbers!$Q$15:$Q$35,ROW()-3),Numbers!$Q$15:$Q$35,0))</f>
        <v>15</v>
      </c>
      <c r="I11" s="29">
        <f ca="1">INDEX(Numbers!$S$15:$S$35,MATCH(LARGE(Numbers!$T$15:$T$35,ROW()-3),Numbers!$T$15:$T$35,0))</f>
        <v>26</v>
      </c>
      <c r="J11" s="29" t="s">
        <v>42</v>
      </c>
      <c r="K11" s="29">
        <f ca="1">INDEX(Numbers!$Y$15:$Y$35,MATCH(LARGE(Numbers!$Z$15:$Z$35,ROW()-3),Numbers!$Z$15:$Z$35,0))</f>
        <v>60</v>
      </c>
      <c r="L11" s="29">
        <f ca="1">INDEX(Numbers!$AB$15:$AB$35,MATCH(LARGE(Numbers!$AC$15:$AC$35,ROW()-3),Numbers!$AC$15:$AC$35,0))</f>
        <v>74</v>
      </c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S11"/>
      <c r="BA11"/>
    </row>
    <row r="12" spans="2:89" s="1" customFormat="1" ht="60" customHeight="1">
      <c r="B12" s="29">
        <f ca="1">INDEX(Numbers!$P$1:$P$15,MATCH(LARGE(Numbers!$Q$1:$Q$15,ROW()-3),Numbers!$Q$1:$Q$15,0))</f>
        <v>4</v>
      </c>
      <c r="C12" s="29">
        <f ca="1">INDEX(Numbers!$S$1:$S$15,MATCH(LARGE(Numbers!$T$1:$T$15,ROW()-3),Numbers!$T$1:$T$15,0))</f>
        <v>24</v>
      </c>
      <c r="D12" s="29">
        <f ca="1">INDEX(Numbers!$V$1:$V$15,MATCH(LARGE(Numbers!$W$1:$W$15,ROW()-3),Numbers!$W$1:$W$15,0))</f>
        <v>31</v>
      </c>
      <c r="E12" s="29">
        <f ca="1">INDEX(Numbers!$Y$1:$Y$15,MATCH(LARGE(Numbers!$Z$1:$Z$15,ROW()-3),Numbers!$Z$1:$Z$15,0))</f>
        <v>54</v>
      </c>
      <c r="F12" s="29">
        <f ca="1">INDEX(Numbers!$AB$1:$AB$15,MATCH(LARGE(Numbers!$AC$1:$AC$15,ROW()-3),Numbers!$AC$1:$AC$15,0))</f>
        <v>63</v>
      </c>
      <c r="G12" s="29"/>
      <c r="H12" s="29">
        <f ca="1">INDEX(Numbers!$P$15:$P$35,MATCH(LARGE(Numbers!$Q$15:$Q$35,ROW()-3),Numbers!$Q$15:$Q$35,0))</f>
        <v>13</v>
      </c>
      <c r="I12" s="29">
        <f ca="1">INDEX(Numbers!$S$15:$S$35,MATCH(LARGE(Numbers!$T$15:$T$35,ROW()-3),Numbers!$T$15:$T$35,0))</f>
        <v>19</v>
      </c>
      <c r="J12" s="29">
        <f ca="1">INDEX(Numbers!$V$15:$V$35,MATCH(LARGE(Numbers!$W$15:$W$35,ROW()-3),Numbers!$W$15:$W$35,0))</f>
        <v>38</v>
      </c>
      <c r="K12" s="29">
        <f ca="1">INDEX(Numbers!$Y$15:$Y$35,MATCH(LARGE(Numbers!$Z$15:$Z$35,ROW()-3),Numbers!$Z$15:$Z$35,0))</f>
        <v>56</v>
      </c>
      <c r="L12" s="29">
        <f ca="1">INDEX(Numbers!$AB$15:$AB$35,MATCH(LARGE(Numbers!$AC$15:$AC$35,ROW()-3),Numbers!$AC$15:$AC$35,0))</f>
        <v>72</v>
      </c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S12"/>
      <c r="BA12"/>
    </row>
    <row r="13" spans="2:89" s="1" customFormat="1" ht="60" customHeight="1">
      <c r="B13" s="29">
        <f ca="1">INDEX(Numbers!$P$1:$P$15,MATCH(LARGE(Numbers!$Q$1:$Q$15,ROW()-3),Numbers!$Q$1:$Q$15,0))</f>
        <v>15</v>
      </c>
      <c r="C13" s="29">
        <f ca="1">INDEX(Numbers!$S$1:$S$15,MATCH(LARGE(Numbers!$T$1:$T$15,ROW()-3),Numbers!$T$1:$T$15,0))</f>
        <v>20</v>
      </c>
      <c r="D13" s="29">
        <f ca="1">INDEX(Numbers!$V$1:$V$15,MATCH(LARGE(Numbers!$W$1:$W$15,ROW()-3),Numbers!$W$1:$W$15,0))</f>
        <v>36</v>
      </c>
      <c r="E13" s="29">
        <f ca="1">INDEX(Numbers!$Y$1:$Y$15,MATCH(LARGE(Numbers!$Z$1:$Z$15,ROW()-3),Numbers!$Z$1:$Z$15,0))</f>
        <v>58</v>
      </c>
      <c r="F13" s="29">
        <f ca="1">INDEX(Numbers!$AB$1:$AB$15,MATCH(LARGE(Numbers!$AC$1:$AC$15,ROW()-3),Numbers!$AC$1:$AC$15,0))</f>
        <v>75</v>
      </c>
      <c r="G13" s="29"/>
      <c r="H13" s="29">
        <f ca="1">INDEX(Numbers!$P$15:$P$35,MATCH(LARGE(Numbers!$Q$15:$Q$35,ROW()-3),Numbers!$Q$15:$Q$35,0))</f>
        <v>5</v>
      </c>
      <c r="I13" s="29">
        <f ca="1">INDEX(Numbers!$S$15:$S$35,MATCH(LARGE(Numbers!$T$15:$T$35,ROW()-3),Numbers!$T$15:$T$35,0))</f>
        <v>25</v>
      </c>
      <c r="J13" s="29">
        <f ca="1">INDEX(Numbers!$V$15:$V$35,MATCH(LARGE(Numbers!$W$15:$W$35,ROW()-3),Numbers!$W$15:$W$35,0))</f>
        <v>35</v>
      </c>
      <c r="K13" s="29">
        <f ca="1">INDEX(Numbers!$Y$15:$Y$35,MATCH(LARGE(Numbers!$Z$15:$Z$35,ROW()-3),Numbers!$Z$15:$Z$35,0))</f>
        <v>59</v>
      </c>
      <c r="L13" s="29">
        <f ca="1">INDEX(Numbers!$AB$15:$AB$35,MATCH(LARGE(Numbers!$AC$15:$AC$35,ROW()-3),Numbers!$AC$15:$AC$35,0))</f>
        <v>69</v>
      </c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S13"/>
      <c r="BA13"/>
    </row>
    <row r="14" spans="2:89" ht="19.5" customHeight="1"/>
    <row r="15" spans="2:89" s="1" customFormat="1" ht="60" customHeight="1"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O15" s="34" t="s">
        <v>46</v>
      </c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S15"/>
      <c r="BA15"/>
    </row>
    <row r="16" spans="2:89" s="1" customFormat="1" ht="60" customHeight="1">
      <c r="B16" s="29">
        <f ca="1">INDEX(Numbers!$AE$1:$AE$15,MATCH(LARGE(Numbers!$AF$1:$AF$15,ROW()-5),Numbers!$AF$1:$AF$15,0))</f>
        <v>9</v>
      </c>
      <c r="C16" s="29">
        <f ca="1">INDEX(Numbers!$AH$1:$AH$15,MATCH(LARGE(Numbers!$AI$1:$AI$15,ROW()-5),Numbers!$AI$1:$AI$15,0))</f>
        <v>26</v>
      </c>
      <c r="D16" s="29">
        <f ca="1">INDEX(Numbers!$AK$1:$AK$15,MATCH(LARGE(Numbers!$AL$1:$AL$15,ROW()-5),Numbers!$AL$1:$AL$15,0))</f>
        <v>43</v>
      </c>
      <c r="E16" s="29">
        <f ca="1">INDEX(Numbers!$AN$1:$AN$15,MATCH(LARGE(Numbers!$AO$1:$AO$15,ROW()-5),Numbers!$AO$1:$AO$15,0))</f>
        <v>55</v>
      </c>
      <c r="F16" s="29">
        <f ca="1">INDEX(Numbers!$AQ$1:$AQ$15,MATCH(LARGE(Numbers!$AR$1:$AR$15,ROW()-5),Numbers!$AR$1:$AR$15,0))</f>
        <v>69</v>
      </c>
      <c r="G16" s="29"/>
      <c r="H16" s="29">
        <f ca="1">INDEX(Numbers!$AE$15:$AE$35,MATCH(LARGE(Numbers!$AF$15:$AF$35,ROW()-5),Numbers!$AF$15:$AF$35,0))</f>
        <v>7</v>
      </c>
      <c r="I16" s="29">
        <f ca="1">INDEX(Numbers!$AH$15:$AH$35,MATCH(LARGE(Numbers!$AI$15:$AI$35,ROW()-5),Numbers!$AI$15:$AI$35,0))</f>
        <v>24</v>
      </c>
      <c r="J16" s="29">
        <f ca="1">INDEX(Numbers!$AK$15:$AK$35,MATCH(LARGE(Numbers!$AL$15:$AL$35,ROW()-5),Numbers!$AL$15:$AL$35,0))</f>
        <v>38</v>
      </c>
      <c r="K16" s="29">
        <f ca="1">INDEX(Numbers!$AN$15:$AN$35,MATCH(LARGE(Numbers!$AO$15:$AO$35,ROW()-5),Numbers!$AO$15:$AO$35,0))</f>
        <v>55</v>
      </c>
      <c r="L16" s="29">
        <f ca="1">INDEX(Numbers!$AQ$15:$AQ$35,MATCH(LARGE(Numbers!$AR$15:$AR$35,ROW()-5),Numbers!$AR$15:$AR$35,0))</f>
        <v>64</v>
      </c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S16"/>
      <c r="BA16"/>
    </row>
    <row r="17" spans="2:53" s="1" customFormat="1" ht="60" customHeight="1">
      <c r="B17" s="29">
        <f ca="1">INDEX(Numbers!$AE$1:$AE$15,MATCH(LARGE(Numbers!$AF$1:$AF$15,ROW()-5),Numbers!$AF$1:$AF$15,0))</f>
        <v>12</v>
      </c>
      <c r="C17" s="29">
        <f ca="1">INDEX(Numbers!$AH$1:$AH$15,MATCH(LARGE(Numbers!$AI$1:$AI$15,ROW()-5),Numbers!$AI$1:$AI$15,0))</f>
        <v>19</v>
      </c>
      <c r="D17" s="29">
        <f ca="1">INDEX(Numbers!$AK$1:$AK$15,MATCH(LARGE(Numbers!$AL$1:$AL$15,ROW()-5),Numbers!$AL$1:$AL$15,0))</f>
        <v>42</v>
      </c>
      <c r="E17" s="29">
        <f ca="1">INDEX(Numbers!$AN$1:$AN$15,MATCH(LARGE(Numbers!$AO$1:$AO$15,ROW()-5),Numbers!$AO$1:$AO$15,0))</f>
        <v>49</v>
      </c>
      <c r="F17" s="29">
        <f ca="1">INDEX(Numbers!$AQ$1:$AQ$15,MATCH(LARGE(Numbers!$AR$1:$AR$15,ROW()-5),Numbers!$AR$1:$AR$15,0))</f>
        <v>66</v>
      </c>
      <c r="G17" s="29"/>
      <c r="H17" s="29">
        <f ca="1">INDEX(Numbers!$AE$15:$AE$35,MATCH(LARGE(Numbers!$AF$15:$AF$35,ROW()-5),Numbers!$AF$15:$AF$35,0))</f>
        <v>9</v>
      </c>
      <c r="I17" s="29">
        <f ca="1">INDEX(Numbers!$AH$15:$AH$35,MATCH(LARGE(Numbers!$AI$15:$AI$35,ROW()-5),Numbers!$AI$15:$AI$35,0))</f>
        <v>17</v>
      </c>
      <c r="J17" s="29">
        <f ca="1">INDEX(Numbers!$AK$15:$AK$35,MATCH(LARGE(Numbers!$AL$15:$AL$35,ROW()-5),Numbers!$AL$15:$AL$35,0))</f>
        <v>32</v>
      </c>
      <c r="K17" s="29">
        <f ca="1">INDEX(Numbers!$AN$15:$AN$35,MATCH(LARGE(Numbers!$AO$15:$AO$35,ROW()-5),Numbers!$AO$15:$AO$35,0))</f>
        <v>58</v>
      </c>
      <c r="L17" s="29">
        <f ca="1">INDEX(Numbers!$AQ$15:$AQ$35,MATCH(LARGE(Numbers!$AR$15:$AR$35,ROW()-5),Numbers!$AR$15:$AR$35,0))</f>
        <v>68</v>
      </c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S17"/>
      <c r="BA17"/>
    </row>
    <row r="18" spans="2:53" s="1" customFormat="1" ht="60" customHeight="1">
      <c r="B18" s="29">
        <f ca="1">INDEX(Numbers!$AE$1:$AE$15,MATCH(LARGE(Numbers!$AF$1:$AF$15,ROW()-5),Numbers!$AF$1:$AF$15,0))</f>
        <v>2</v>
      </c>
      <c r="C18" s="29">
        <f ca="1">INDEX(Numbers!$AH$1:$AH$15,MATCH(LARGE(Numbers!$AI$1:$AI$15,ROW()-5),Numbers!$AI$1:$AI$15,0))</f>
        <v>27</v>
      </c>
      <c r="D18" s="29" t="s">
        <v>45</v>
      </c>
      <c r="E18" s="29">
        <f ca="1">INDEX(Numbers!$AN$1:$AN$15,MATCH(LARGE(Numbers!$AO$1:$AO$15,ROW()-5),Numbers!$AO$1:$AO$15,0))</f>
        <v>51</v>
      </c>
      <c r="F18" s="29">
        <f ca="1">INDEX(Numbers!$AQ$1:$AQ$15,MATCH(LARGE(Numbers!$AR$1:$AR$15,ROW()-5),Numbers!$AR$1:$AR$15,0))</f>
        <v>65</v>
      </c>
      <c r="G18" s="29"/>
      <c r="H18" s="29">
        <f ca="1">INDEX(Numbers!$AE$15:$AE$35,MATCH(LARGE(Numbers!$AF$15:$AF$35,ROW()-5),Numbers!$AF$15:$AF$35,0))</f>
        <v>11</v>
      </c>
      <c r="I18" s="29">
        <f ca="1">INDEX(Numbers!$AH$15:$AH$35,MATCH(LARGE(Numbers!$AI$15:$AI$35,ROW()-5),Numbers!$AI$15:$AI$35,0))</f>
        <v>30</v>
      </c>
      <c r="J18" s="29" t="s">
        <v>45</v>
      </c>
      <c r="K18" s="29">
        <f ca="1">INDEX(Numbers!$AN$15:$AN$35,MATCH(LARGE(Numbers!$AO$15:$AO$35,ROW()-5),Numbers!$AO$15:$AO$35,0))</f>
        <v>57</v>
      </c>
      <c r="L18" s="29">
        <f ca="1">INDEX(Numbers!$AQ$15:$AQ$35,MATCH(LARGE(Numbers!$AR$15:$AR$35,ROW()-5),Numbers!$AR$15:$AR$35,0))</f>
        <v>73</v>
      </c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S18"/>
      <c r="BA18"/>
    </row>
    <row r="19" spans="2:53" s="1" customFormat="1" ht="60" customHeight="1">
      <c r="B19" s="29">
        <f ca="1">INDEX(Numbers!$AE$1:$AE$15,MATCH(LARGE(Numbers!$AF$1:$AF$15,ROW()-5),Numbers!$AF$1:$AF$15,0))</f>
        <v>8</v>
      </c>
      <c r="C19" s="29">
        <f ca="1">INDEX(Numbers!$AH$1:$AH$15,MATCH(LARGE(Numbers!$AI$1:$AI$15,ROW()-5),Numbers!$AI$1:$AI$15,0))</f>
        <v>30</v>
      </c>
      <c r="D19" s="29">
        <f ca="1">INDEX(Numbers!$AK$1:$AK$15,MATCH(LARGE(Numbers!$AL$1:$AL$15,ROW()-5),Numbers!$AL$1:$AL$15,0))</f>
        <v>44</v>
      </c>
      <c r="E19" s="29">
        <f ca="1">INDEX(Numbers!$AN$1:$AN$15,MATCH(LARGE(Numbers!$AO$1:$AO$15,ROW()-5),Numbers!$AO$1:$AO$15,0))</f>
        <v>50</v>
      </c>
      <c r="F19" s="29">
        <f ca="1">INDEX(Numbers!$AQ$1:$AQ$15,MATCH(LARGE(Numbers!$AR$1:$AR$15,ROW()-5),Numbers!$AR$1:$AR$15,0))</f>
        <v>71</v>
      </c>
      <c r="G19" s="29"/>
      <c r="H19" s="29">
        <f ca="1">INDEX(Numbers!$AE$15:$AE$35,MATCH(LARGE(Numbers!$AF$15:$AF$35,ROW()-5),Numbers!$AF$15:$AF$35,0))</f>
        <v>6</v>
      </c>
      <c r="I19" s="29">
        <f ca="1">INDEX(Numbers!$AH$15:$AH$35,MATCH(LARGE(Numbers!$AI$15:$AI$35,ROW()-5),Numbers!$AI$15:$AI$35,0))</f>
        <v>16</v>
      </c>
      <c r="J19" s="29">
        <f ca="1">INDEX(Numbers!$AK$15:$AK$35,MATCH(LARGE(Numbers!$AL$15:$AL$35,ROW()-5),Numbers!$AL$15:$AL$35,0))</f>
        <v>43</v>
      </c>
      <c r="K19" s="29">
        <f ca="1">INDEX(Numbers!$AN$15:$AN$35,MATCH(LARGE(Numbers!$AO$15:$AO$35,ROW()-5),Numbers!$AO$15:$AO$35,0))</f>
        <v>50</v>
      </c>
      <c r="L19" s="29">
        <f ca="1">INDEX(Numbers!$AQ$15:$AQ$35,MATCH(LARGE(Numbers!$AR$15:$AR$35,ROW()-5),Numbers!$AR$15:$AR$35,0))</f>
        <v>74</v>
      </c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S19"/>
      <c r="BA19"/>
    </row>
    <row r="20" spans="2:53" s="1" customFormat="1" ht="60" customHeight="1">
      <c r="B20" s="29">
        <f ca="1">INDEX(Numbers!$AE$1:$AE$15,MATCH(LARGE(Numbers!$AF$1:$AF$15,ROW()-5),Numbers!$AF$1:$AF$15,0))</f>
        <v>11</v>
      </c>
      <c r="C20" s="29">
        <f ca="1">INDEX(Numbers!$AH$1:$AH$15,MATCH(LARGE(Numbers!$AI$1:$AI$15,ROW()-5),Numbers!$AI$1:$AI$15,0))</f>
        <v>25</v>
      </c>
      <c r="D20" s="29">
        <f ca="1">INDEX(Numbers!$AK$1:$AK$15,MATCH(LARGE(Numbers!$AL$1:$AL$15,ROW()-5),Numbers!$AL$1:$AL$15,0))</f>
        <v>45</v>
      </c>
      <c r="E20" s="29">
        <f ca="1">INDEX(Numbers!$AN$1:$AN$15,MATCH(LARGE(Numbers!$AO$1:$AO$15,ROW()-5),Numbers!$AO$1:$AO$15,0))</f>
        <v>56</v>
      </c>
      <c r="F20" s="29">
        <f ca="1">INDEX(Numbers!$AQ$1:$AQ$15,MATCH(LARGE(Numbers!$AR$1:$AR$15,ROW()-5),Numbers!$AR$1:$AR$15,0))</f>
        <v>63</v>
      </c>
      <c r="G20" s="29"/>
      <c r="H20" s="29">
        <f ca="1">INDEX(Numbers!$AE$15:$AE$35,MATCH(LARGE(Numbers!$AF$15:$AF$35,ROW()-5),Numbers!$AF$15:$AF$35,0))</f>
        <v>2</v>
      </c>
      <c r="I20" s="29">
        <f ca="1">INDEX(Numbers!$AH$15:$AH$35,MATCH(LARGE(Numbers!$AI$15:$AI$35,ROW()-5),Numbers!$AI$15:$AI$35,0))</f>
        <v>30</v>
      </c>
      <c r="J20" s="29">
        <f ca="1">INDEX(Numbers!$AK$15:$AK$35,MATCH(LARGE(Numbers!$AL$15:$AL$35,ROW()-5),Numbers!$AL$15:$AL$35,0))</f>
        <v>33</v>
      </c>
      <c r="K20" s="29">
        <f ca="1">INDEX(Numbers!$AN$15:$AN$35,MATCH(LARGE(Numbers!$AO$15:$AO$35,ROW()-5),Numbers!$AO$15:$AO$35,0))</f>
        <v>47</v>
      </c>
      <c r="L20" s="29">
        <f ca="1">INDEX(Numbers!$AQ$15:$AQ$35,MATCH(LARGE(Numbers!$AR$15:$AR$35,ROW()-5),Numbers!$AR$15:$AR$35,0))</f>
        <v>70</v>
      </c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S20"/>
      <c r="BA20"/>
    </row>
    <row r="21" spans="2:53" ht="28.5" customHeight="1"/>
  </sheetData>
  <mergeCells count="4">
    <mergeCell ref="O5:AH13"/>
    <mergeCell ref="O4:P4"/>
    <mergeCell ref="Q4:R4"/>
    <mergeCell ref="O15:AH20"/>
  </mergeCells>
  <phoneticPr fontId="2" type="noConversion"/>
  <conditionalFormatting sqref="B2:L20">
    <cfRule type="expression" dxfId="3" priority="4" stopIfTrue="1">
      <formula>HLOOKUP(B2,$O$2:$DQ$2,1,FALSE)</formula>
    </cfRule>
  </conditionalFormatting>
  <pageMargins left="0.75" right="0.75" top="1" bottom="1" header="0.5" footer="0.5"/>
  <pageSetup scale="66" orientation="portrait" r:id="rId1"/>
  <headerFooter alignWithMargins="0">
    <oddFooter>&amp;Lwww.contextures.com&amp;RContextures Inc., Copyright © 2009. All rights reserved.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R35"/>
  <sheetViews>
    <sheetView zoomScale="90" zoomScaleNormal="90" workbookViewId="0">
      <selection activeCell="AW26" sqref="AW26"/>
    </sheetView>
  </sheetViews>
  <sheetFormatPr defaultRowHeight="16.5"/>
  <cols>
    <col min="1" max="1" width="3" bestFit="1" customWidth="1"/>
    <col min="2" max="2" width="5.85546875" customWidth="1"/>
    <col min="3" max="3" width="1.5703125" customWidth="1"/>
    <col min="4" max="4" width="3" bestFit="1" customWidth="1"/>
    <col min="5" max="5" width="5.85546875" customWidth="1"/>
    <col min="6" max="6" width="1.7109375" customWidth="1"/>
    <col min="7" max="7" width="3" bestFit="1" customWidth="1"/>
    <col min="8" max="8" width="5.85546875" customWidth="1"/>
    <col min="9" max="9" width="1.7109375" customWidth="1"/>
    <col min="10" max="10" width="3" bestFit="1" customWidth="1"/>
    <col min="11" max="11" width="5.85546875" customWidth="1"/>
    <col min="12" max="12" width="1.7109375" customWidth="1"/>
    <col min="13" max="13" width="3" bestFit="1" customWidth="1"/>
    <col min="14" max="14" width="5.85546875" customWidth="1"/>
    <col min="15" max="15" width="2.85546875" customWidth="1"/>
    <col min="16" max="16" width="3" bestFit="1" customWidth="1"/>
    <col min="17" max="17" width="5.85546875" customWidth="1"/>
    <col min="18" max="18" width="1.5703125" customWidth="1"/>
    <col min="19" max="19" width="3" bestFit="1" customWidth="1"/>
    <col min="20" max="20" width="5.85546875" customWidth="1"/>
    <col min="21" max="21" width="1.7109375" customWidth="1"/>
    <col min="22" max="22" width="3" bestFit="1" customWidth="1"/>
    <col min="23" max="23" width="5.85546875" customWidth="1"/>
    <col min="24" max="24" width="1.7109375" customWidth="1"/>
    <col min="25" max="25" width="3" bestFit="1" customWidth="1"/>
    <col min="26" max="26" width="5.85546875" customWidth="1"/>
    <col min="27" max="27" width="1.7109375" customWidth="1"/>
    <col min="28" max="28" width="3" bestFit="1" customWidth="1"/>
    <col min="29" max="29" width="5.85546875" customWidth="1"/>
    <col min="30" max="30" width="2.85546875" customWidth="1"/>
    <col min="31" max="31" width="3" bestFit="1" customWidth="1"/>
    <col min="32" max="32" width="5.85546875" customWidth="1"/>
    <col min="33" max="33" width="1.5703125" customWidth="1"/>
    <col min="34" max="34" width="3" bestFit="1" customWidth="1"/>
    <col min="35" max="35" width="5.85546875" customWidth="1"/>
    <col min="36" max="36" width="1.7109375" customWidth="1"/>
    <col min="37" max="37" width="3" bestFit="1" customWidth="1"/>
    <col min="38" max="38" width="5.85546875" customWidth="1"/>
    <col min="39" max="39" width="1.7109375" customWidth="1"/>
    <col min="40" max="40" width="3" bestFit="1" customWidth="1"/>
    <col min="41" max="41" width="5.85546875" customWidth="1"/>
    <col min="42" max="42" width="1.7109375" customWidth="1"/>
    <col min="43" max="43" width="3" bestFit="1" customWidth="1"/>
    <col min="44" max="44" width="5.85546875" customWidth="1"/>
    <col min="46" max="47" width="3.85546875" customWidth="1"/>
    <col min="48" max="48" width="1.42578125" customWidth="1"/>
    <col min="49" max="50" width="3.85546875" customWidth="1"/>
    <col min="51" max="51" width="1.5703125" customWidth="1"/>
    <col min="52" max="53" width="3.85546875" customWidth="1"/>
    <col min="54" max="54" width="0.85546875" customWidth="1"/>
    <col min="55" max="56" width="3.85546875" customWidth="1"/>
    <col min="57" max="57" width="1.28515625" customWidth="1"/>
    <col min="58" max="59" width="3.85546875" customWidth="1"/>
    <col min="61" max="62" width="3.7109375" customWidth="1"/>
    <col min="63" max="63" width="1.7109375" customWidth="1"/>
    <col min="64" max="65" width="3.7109375" customWidth="1"/>
    <col min="66" max="66" width="1.7109375" customWidth="1"/>
    <col min="67" max="68" width="3.7109375" customWidth="1"/>
    <col min="69" max="69" width="1.42578125" customWidth="1"/>
    <col min="70" max="71" width="3.7109375" customWidth="1"/>
    <col min="72" max="72" width="1.28515625" customWidth="1"/>
    <col min="73" max="74" width="3.7109375" customWidth="1"/>
    <col min="76" max="77" width="4.42578125" customWidth="1"/>
    <col min="78" max="78" width="1.42578125" customWidth="1"/>
    <col min="79" max="80" width="4.42578125" customWidth="1"/>
    <col min="81" max="81" width="1.42578125" customWidth="1"/>
    <col min="82" max="83" width="4.42578125" customWidth="1"/>
    <col min="84" max="84" width="1.5703125" customWidth="1"/>
    <col min="85" max="86" width="4.42578125" customWidth="1"/>
    <col min="87" max="87" width="1.7109375" customWidth="1"/>
    <col min="88" max="89" width="4.42578125" customWidth="1"/>
  </cols>
  <sheetData>
    <row r="1" spans="1:44">
      <c r="A1" s="12">
        <v>1</v>
      </c>
      <c r="B1" s="6">
        <f t="shared" ref="B1:B15" ca="1" si="0">RAND()</f>
        <v>0.78507784539284409</v>
      </c>
      <c r="C1" s="6"/>
      <c r="D1" s="15">
        <v>16</v>
      </c>
      <c r="E1" s="6">
        <f t="shared" ref="E1:E15" ca="1" si="1">RAND()</f>
        <v>0.22119095030614833</v>
      </c>
      <c r="F1" s="6"/>
      <c r="G1" s="15">
        <v>31</v>
      </c>
      <c r="H1" s="6">
        <f t="shared" ref="H1:H15" ca="1" si="2">RAND()</f>
        <v>0.80539365850618627</v>
      </c>
      <c r="I1" s="6"/>
      <c r="J1" s="15">
        <v>46</v>
      </c>
      <c r="K1" s="6">
        <f t="shared" ref="K1:K15" ca="1" si="3">RAND()</f>
        <v>0.22315689331991106</v>
      </c>
      <c r="L1" s="6"/>
      <c r="M1" s="15">
        <v>61</v>
      </c>
      <c r="N1" s="7">
        <f t="shared" ref="N1:N15" ca="1" si="4">RAND()</f>
        <v>0.4773930861471225</v>
      </c>
      <c r="P1" s="12">
        <v>1</v>
      </c>
      <c r="Q1" s="6">
        <f t="shared" ref="Q1:Q15" ca="1" si="5">RAND()</f>
        <v>0.56613240396796838</v>
      </c>
      <c r="R1" s="6"/>
      <c r="S1" s="15">
        <v>16</v>
      </c>
      <c r="T1" s="6">
        <f t="shared" ref="T1:T15" ca="1" si="6">RAND()</f>
        <v>8.9448481035905525E-2</v>
      </c>
      <c r="U1" s="6"/>
      <c r="V1" s="15">
        <v>31</v>
      </c>
      <c r="W1" s="6">
        <f t="shared" ref="W1:W15" ca="1" si="7">RAND()</f>
        <v>0.64055793266126781</v>
      </c>
      <c r="X1" s="6"/>
      <c r="Y1" s="15">
        <v>46</v>
      </c>
      <c r="Z1" s="6">
        <f t="shared" ref="Z1:Z15" ca="1" si="8">RAND()</f>
        <v>0.95832242370433263</v>
      </c>
      <c r="AA1" s="15"/>
      <c r="AB1" s="15">
        <v>61</v>
      </c>
      <c r="AC1" s="7">
        <f t="shared" ref="AC1:AC15" ca="1" si="9">RAND()</f>
        <v>0.957283982615594</v>
      </c>
      <c r="AE1" s="12">
        <v>1</v>
      </c>
      <c r="AF1" s="6">
        <f t="shared" ref="AF1:AF15" ca="1" si="10">RAND()</f>
        <v>0.38033924012410092</v>
      </c>
      <c r="AG1" s="6"/>
      <c r="AH1" s="15">
        <v>16</v>
      </c>
      <c r="AI1" s="6">
        <f t="shared" ref="AI1:AI15" ca="1" si="11">RAND()</f>
        <v>0.89830810712254183</v>
      </c>
      <c r="AJ1" s="6"/>
      <c r="AK1" s="15">
        <v>31</v>
      </c>
      <c r="AL1" s="6">
        <f t="shared" ref="AL1:AL15" ca="1" si="12">RAND()</f>
        <v>0.80394981091779305</v>
      </c>
      <c r="AM1" s="6"/>
      <c r="AN1" s="15">
        <v>46</v>
      </c>
      <c r="AO1" s="6">
        <f t="shared" ref="AO1:AO15" ca="1" si="13">RAND()</f>
        <v>0.58278804967059672</v>
      </c>
      <c r="AP1" s="6"/>
      <c r="AQ1" s="15">
        <v>61</v>
      </c>
      <c r="AR1" s="7">
        <f t="shared" ref="AR1:AR15" ca="1" si="14">RAND()</f>
        <v>0.84436031283084589</v>
      </c>
    </row>
    <row r="2" spans="1:44">
      <c r="A2" s="13">
        <v>2</v>
      </c>
      <c r="B2" s="8">
        <f t="shared" ca="1" si="0"/>
        <v>0.72138861013941769</v>
      </c>
      <c r="C2" s="8"/>
      <c r="D2" s="16">
        <v>17</v>
      </c>
      <c r="E2" s="8">
        <f t="shared" ca="1" si="1"/>
        <v>0.26048753106079958</v>
      </c>
      <c r="F2" s="8"/>
      <c r="G2" s="16">
        <v>32</v>
      </c>
      <c r="H2" s="8">
        <f t="shared" ca="1" si="2"/>
        <v>0.92288787447311804</v>
      </c>
      <c r="I2" s="8"/>
      <c r="J2" s="16">
        <v>47</v>
      </c>
      <c r="K2" s="8">
        <f t="shared" ca="1" si="3"/>
        <v>0.9071549729811611</v>
      </c>
      <c r="L2" s="8"/>
      <c r="M2" s="16">
        <v>62</v>
      </c>
      <c r="N2" s="9">
        <f t="shared" ca="1" si="4"/>
        <v>0.6241835246894315</v>
      </c>
      <c r="P2" s="13">
        <v>2</v>
      </c>
      <c r="Q2" s="8">
        <f t="shared" ca="1" si="5"/>
        <v>0.28853920916267106</v>
      </c>
      <c r="R2" s="8"/>
      <c r="S2" s="16">
        <v>17</v>
      </c>
      <c r="T2" s="8">
        <f t="shared" ca="1" si="6"/>
        <v>5.0841607607686856E-2</v>
      </c>
      <c r="U2" s="8"/>
      <c r="V2" s="16">
        <v>32</v>
      </c>
      <c r="W2" s="8">
        <f t="shared" ca="1" si="7"/>
        <v>0.1286041916584445</v>
      </c>
      <c r="X2" s="8"/>
      <c r="Y2" s="16">
        <v>47</v>
      </c>
      <c r="Z2" s="8">
        <f t="shared" ca="1" si="8"/>
        <v>0.12888711376970663</v>
      </c>
      <c r="AA2" s="16"/>
      <c r="AB2" s="16">
        <v>62</v>
      </c>
      <c r="AC2" s="9">
        <f t="shared" ca="1" si="9"/>
        <v>0.68960702959219355</v>
      </c>
      <c r="AE2" s="13">
        <v>2</v>
      </c>
      <c r="AF2" s="8">
        <f t="shared" ca="1" si="10"/>
        <v>0.12151537348466601</v>
      </c>
      <c r="AG2" s="8"/>
      <c r="AH2" s="16">
        <v>17</v>
      </c>
      <c r="AI2" s="8">
        <f t="shared" ca="1" si="11"/>
        <v>0.37519804903722564</v>
      </c>
      <c r="AJ2" s="8"/>
      <c r="AK2" s="16">
        <v>32</v>
      </c>
      <c r="AL2" s="8">
        <f t="shared" ca="1" si="12"/>
        <v>0.89613125457565346</v>
      </c>
      <c r="AM2" s="8"/>
      <c r="AN2" s="16">
        <v>47</v>
      </c>
      <c r="AO2" s="8">
        <f t="shared" ca="1" si="13"/>
        <v>0.88258323920250925</v>
      </c>
      <c r="AP2" s="8"/>
      <c r="AQ2" s="16">
        <v>62</v>
      </c>
      <c r="AR2" s="9">
        <f t="shared" ca="1" si="14"/>
        <v>0.96557794384923712</v>
      </c>
    </row>
    <row r="3" spans="1:44">
      <c r="A3" s="13">
        <v>3</v>
      </c>
      <c r="B3" s="8">
        <f t="shared" ca="1" si="0"/>
        <v>0.32850118373074666</v>
      </c>
      <c r="C3" s="8"/>
      <c r="D3" s="16">
        <v>18</v>
      </c>
      <c r="E3" s="8">
        <f t="shared" ca="1" si="1"/>
        <v>0.27364880523363555</v>
      </c>
      <c r="F3" s="8"/>
      <c r="G3" s="16">
        <v>33</v>
      </c>
      <c r="H3" s="8">
        <f t="shared" ca="1" si="2"/>
        <v>0.95727048473629306</v>
      </c>
      <c r="I3" s="8"/>
      <c r="J3" s="16">
        <v>48</v>
      </c>
      <c r="K3" s="8">
        <f t="shared" ca="1" si="3"/>
        <v>0.69051624883483653</v>
      </c>
      <c r="L3" s="8"/>
      <c r="M3" s="16">
        <v>63</v>
      </c>
      <c r="N3" s="9">
        <f t="shared" ca="1" si="4"/>
        <v>0.15176726402808238</v>
      </c>
      <c r="P3" s="13">
        <v>3</v>
      </c>
      <c r="Q3" s="8">
        <f t="shared" ca="1" si="5"/>
        <v>7.6846034837957267E-2</v>
      </c>
      <c r="R3" s="8"/>
      <c r="S3" s="16">
        <v>18</v>
      </c>
      <c r="T3" s="8">
        <f t="shared" ca="1" si="6"/>
        <v>0.67068294825119479</v>
      </c>
      <c r="U3" s="8"/>
      <c r="V3" s="16">
        <v>33</v>
      </c>
      <c r="W3" s="8">
        <f t="shared" ca="1" si="7"/>
        <v>0.26044283372076082</v>
      </c>
      <c r="X3" s="8"/>
      <c r="Y3" s="16">
        <v>48</v>
      </c>
      <c r="Z3" s="8">
        <f t="shared" ca="1" si="8"/>
        <v>0.78325628332895103</v>
      </c>
      <c r="AA3" s="16"/>
      <c r="AB3" s="16">
        <v>63</v>
      </c>
      <c r="AC3" s="9">
        <f t="shared" ca="1" si="9"/>
        <v>0.47500438277049639</v>
      </c>
      <c r="AE3" s="13">
        <v>3</v>
      </c>
      <c r="AF3" s="8">
        <f t="shared" ca="1" si="10"/>
        <v>0.49447082584996527</v>
      </c>
      <c r="AG3" s="8"/>
      <c r="AH3" s="16">
        <v>18</v>
      </c>
      <c r="AI3" s="8">
        <f t="shared" ca="1" si="11"/>
        <v>0.34069009841312892</v>
      </c>
      <c r="AJ3" s="8"/>
      <c r="AK3" s="16">
        <v>33</v>
      </c>
      <c r="AL3" s="8">
        <f t="shared" ca="1" si="12"/>
        <v>0.60885823433721309</v>
      </c>
      <c r="AM3" s="8"/>
      <c r="AN3" s="16">
        <v>48</v>
      </c>
      <c r="AO3" s="8">
        <f t="shared" ca="1" si="13"/>
        <v>0.69203026434941517</v>
      </c>
      <c r="AP3" s="8"/>
      <c r="AQ3" s="16">
        <v>63</v>
      </c>
      <c r="AR3" s="9">
        <f t="shared" ca="1" si="14"/>
        <v>5.5803277733269541E-3</v>
      </c>
    </row>
    <row r="4" spans="1:44">
      <c r="A4" s="13">
        <v>4</v>
      </c>
      <c r="B4" s="8">
        <f t="shared" ca="1" si="0"/>
        <v>0.68598748181154301</v>
      </c>
      <c r="C4" s="8"/>
      <c r="D4" s="16">
        <v>19</v>
      </c>
      <c r="E4" s="8">
        <f t="shared" ca="1" si="1"/>
        <v>0.47844601633720718</v>
      </c>
      <c r="F4" s="8"/>
      <c r="G4" s="16">
        <v>34</v>
      </c>
      <c r="H4" s="8">
        <f t="shared" ca="1" si="2"/>
        <v>0.68185553916208685</v>
      </c>
      <c r="I4" s="8"/>
      <c r="J4" s="16">
        <v>49</v>
      </c>
      <c r="K4" s="8">
        <f t="shared" ca="1" si="3"/>
        <v>0.21545960362501937</v>
      </c>
      <c r="L4" s="8"/>
      <c r="M4" s="16">
        <v>64</v>
      </c>
      <c r="N4" s="9">
        <f t="shared" ca="1" si="4"/>
        <v>0.74914366477330374</v>
      </c>
      <c r="P4" s="13">
        <v>4</v>
      </c>
      <c r="Q4" s="8">
        <f t="shared" ca="1" si="5"/>
        <v>0.55926407768391972</v>
      </c>
      <c r="R4" s="8"/>
      <c r="S4" s="16">
        <v>19</v>
      </c>
      <c r="T4" s="8">
        <f t="shared" ca="1" si="6"/>
        <v>7.7538417542359128E-2</v>
      </c>
      <c r="U4" s="8"/>
      <c r="V4" s="16">
        <v>34</v>
      </c>
      <c r="W4" s="8">
        <f t="shared" ca="1" si="7"/>
        <v>0.71981506416660912</v>
      </c>
      <c r="X4" s="8"/>
      <c r="Y4" s="16">
        <v>49</v>
      </c>
      <c r="Z4" s="8">
        <f t="shared" ca="1" si="8"/>
        <v>0.30710852269749456</v>
      </c>
      <c r="AA4" s="16"/>
      <c r="AB4" s="16">
        <v>64</v>
      </c>
      <c r="AC4" s="9">
        <f t="shared" ca="1" si="9"/>
        <v>0.19780834568225192</v>
      </c>
      <c r="AE4" s="13">
        <v>4</v>
      </c>
      <c r="AF4" s="8">
        <f t="shared" ca="1" si="10"/>
        <v>0.66628733265585205</v>
      </c>
      <c r="AG4" s="8"/>
      <c r="AH4" s="16">
        <v>19</v>
      </c>
      <c r="AI4" s="8">
        <f t="shared" ca="1" si="11"/>
        <v>0.25641818637691072</v>
      </c>
      <c r="AJ4" s="8"/>
      <c r="AK4" s="16">
        <v>34</v>
      </c>
      <c r="AL4" s="8">
        <f t="shared" ca="1" si="12"/>
        <v>0.7636963730708618</v>
      </c>
      <c r="AM4" s="8"/>
      <c r="AN4" s="16">
        <v>49</v>
      </c>
      <c r="AO4" s="8">
        <f t="shared" ca="1" si="13"/>
        <v>0.26681973000034043</v>
      </c>
      <c r="AP4" s="8"/>
      <c r="AQ4" s="16">
        <v>64</v>
      </c>
      <c r="AR4" s="9">
        <f t="shared" ca="1" si="14"/>
        <v>0.54504316463179803</v>
      </c>
    </row>
    <row r="5" spans="1:44">
      <c r="A5" s="13">
        <v>5</v>
      </c>
      <c r="B5" s="8">
        <f t="shared" ca="1" si="0"/>
        <v>0.29507886706684416</v>
      </c>
      <c r="C5" s="8"/>
      <c r="D5" s="16">
        <v>20</v>
      </c>
      <c r="E5" s="8">
        <f t="shared" ca="1" si="1"/>
        <v>0.41453507003552326</v>
      </c>
      <c r="F5" s="8"/>
      <c r="G5" s="16">
        <v>35</v>
      </c>
      <c r="H5" s="8">
        <f t="shared" ca="1" si="2"/>
        <v>0.2071002284361414</v>
      </c>
      <c r="I5" s="8"/>
      <c r="J5" s="16">
        <v>50</v>
      </c>
      <c r="K5" s="8">
        <f t="shared" ca="1" si="3"/>
        <v>0.84028185642597142</v>
      </c>
      <c r="L5" s="8"/>
      <c r="M5" s="16">
        <v>65</v>
      </c>
      <c r="N5" s="9">
        <f t="shared" ca="1" si="4"/>
        <v>0.22691410483275198</v>
      </c>
      <c r="P5" s="13">
        <v>5</v>
      </c>
      <c r="Q5" s="8">
        <f t="shared" ca="1" si="5"/>
        <v>0.95711144501772583</v>
      </c>
      <c r="R5" s="8"/>
      <c r="S5" s="16">
        <v>20</v>
      </c>
      <c r="T5" s="8">
        <f t="shared" ca="1" si="6"/>
        <v>0.14327030912369876</v>
      </c>
      <c r="U5" s="8"/>
      <c r="V5" s="16">
        <v>35</v>
      </c>
      <c r="W5" s="8">
        <f t="shared" ca="1" si="7"/>
        <v>0.60547607082915889</v>
      </c>
      <c r="X5" s="8"/>
      <c r="Y5" s="16">
        <v>50</v>
      </c>
      <c r="Z5" s="8">
        <f t="shared" ca="1" si="8"/>
        <v>0.88222512863988989</v>
      </c>
      <c r="AA5" s="16"/>
      <c r="AB5" s="16">
        <v>65</v>
      </c>
      <c r="AC5" s="9">
        <f t="shared" ca="1" si="9"/>
        <v>0.35152271845599026</v>
      </c>
      <c r="AE5" s="13">
        <v>5</v>
      </c>
      <c r="AF5" s="8">
        <f t="shared" ca="1" si="10"/>
        <v>0.37602398637782453</v>
      </c>
      <c r="AG5" s="8"/>
      <c r="AH5" s="16">
        <v>20</v>
      </c>
      <c r="AI5" s="8">
        <f t="shared" ca="1" si="11"/>
        <v>0.45538662529783602</v>
      </c>
      <c r="AJ5" s="8"/>
      <c r="AK5" s="16">
        <v>35</v>
      </c>
      <c r="AL5" s="8">
        <f t="shared" ca="1" si="12"/>
        <v>0.99484348058802208</v>
      </c>
      <c r="AM5" s="8"/>
      <c r="AN5" s="16">
        <v>50</v>
      </c>
      <c r="AO5" s="8">
        <f t="shared" ca="1" si="13"/>
        <v>0.14082693363756038</v>
      </c>
      <c r="AP5" s="8"/>
      <c r="AQ5" s="16">
        <v>65</v>
      </c>
      <c r="AR5" s="9">
        <f t="shared" ca="1" si="14"/>
        <v>0.13144811337434803</v>
      </c>
    </row>
    <row r="6" spans="1:44">
      <c r="A6" s="13">
        <v>6</v>
      </c>
      <c r="B6" s="8">
        <f t="shared" ca="1" si="0"/>
        <v>0.75243006513160449</v>
      </c>
      <c r="C6" s="8"/>
      <c r="D6" s="16">
        <v>21</v>
      </c>
      <c r="E6" s="8">
        <f t="shared" ca="1" si="1"/>
        <v>0.45431852509783277</v>
      </c>
      <c r="F6" s="8"/>
      <c r="G6" s="16">
        <v>36</v>
      </c>
      <c r="H6" s="8">
        <f t="shared" ca="1" si="2"/>
        <v>0.69425544644041226</v>
      </c>
      <c r="I6" s="8"/>
      <c r="J6" s="16">
        <v>51</v>
      </c>
      <c r="K6" s="8">
        <f t="shared" ca="1" si="3"/>
        <v>0.3785131590135925</v>
      </c>
      <c r="L6" s="8"/>
      <c r="M6" s="16">
        <v>66</v>
      </c>
      <c r="N6" s="9">
        <f t="shared" ca="1" si="4"/>
        <v>0.14910135562152227</v>
      </c>
      <c r="P6" s="13">
        <v>6</v>
      </c>
      <c r="Q6" s="8">
        <f t="shared" ca="1" si="5"/>
        <v>0.65382554947978477</v>
      </c>
      <c r="R6" s="8"/>
      <c r="S6" s="16">
        <v>21</v>
      </c>
      <c r="T6" s="8">
        <f t="shared" ca="1" si="6"/>
        <v>0.1201618695584119</v>
      </c>
      <c r="U6" s="8"/>
      <c r="V6" s="16">
        <v>36</v>
      </c>
      <c r="W6" s="8">
        <f t="shared" ca="1" si="7"/>
        <v>0.62546765075963651</v>
      </c>
      <c r="X6" s="8"/>
      <c r="Y6" s="16">
        <v>51</v>
      </c>
      <c r="Z6" s="8">
        <f t="shared" ca="1" si="8"/>
        <v>8.2596615654799477E-2</v>
      </c>
      <c r="AA6" s="16"/>
      <c r="AB6" s="16">
        <v>66</v>
      </c>
      <c r="AC6" s="9">
        <f t="shared" ca="1" si="9"/>
        <v>0.88660703663200646</v>
      </c>
      <c r="AE6" s="13">
        <v>6</v>
      </c>
      <c r="AF6" s="8">
        <f t="shared" ca="1" si="10"/>
        <v>0.94700804473783273</v>
      </c>
      <c r="AG6" s="8"/>
      <c r="AH6" s="16">
        <v>21</v>
      </c>
      <c r="AI6" s="8">
        <f t="shared" ca="1" si="11"/>
        <v>0.41197421148779778</v>
      </c>
      <c r="AJ6" s="8"/>
      <c r="AK6" s="16">
        <v>36</v>
      </c>
      <c r="AL6" s="8">
        <f t="shared" ca="1" si="12"/>
        <v>0.89528383143142398</v>
      </c>
      <c r="AM6" s="8"/>
      <c r="AN6" s="16">
        <v>51</v>
      </c>
      <c r="AO6" s="8">
        <f t="shared" ca="1" si="13"/>
        <v>0.15097689560678929</v>
      </c>
      <c r="AP6" s="8"/>
      <c r="AQ6" s="16">
        <v>66</v>
      </c>
      <c r="AR6" s="9">
        <f t="shared" ca="1" si="14"/>
        <v>0.28870778678164821</v>
      </c>
    </row>
    <row r="7" spans="1:44">
      <c r="A7" s="13">
        <v>7</v>
      </c>
      <c r="B7" s="8">
        <f t="shared" ca="1" si="0"/>
        <v>0.28730468805302178</v>
      </c>
      <c r="C7" s="8"/>
      <c r="D7" s="16">
        <v>22</v>
      </c>
      <c r="E7" s="8">
        <f t="shared" ca="1" si="1"/>
        <v>0.32081832657306286</v>
      </c>
      <c r="F7" s="8"/>
      <c r="G7" s="16">
        <v>37</v>
      </c>
      <c r="H7" s="8">
        <f t="shared" ca="1" si="2"/>
        <v>0.38080676441678851</v>
      </c>
      <c r="I7" s="8"/>
      <c r="J7" s="16">
        <v>52</v>
      </c>
      <c r="K7" s="8">
        <f t="shared" ca="1" si="3"/>
        <v>0.51382491922225249</v>
      </c>
      <c r="L7" s="8"/>
      <c r="M7" s="16">
        <v>67</v>
      </c>
      <c r="N7" s="9">
        <f t="shared" ca="1" si="4"/>
        <v>0.88253111901811199</v>
      </c>
      <c r="P7" s="13">
        <v>7</v>
      </c>
      <c r="Q7" s="8">
        <f t="shared" ca="1" si="5"/>
        <v>0.86522278580935386</v>
      </c>
      <c r="R7" s="8"/>
      <c r="S7" s="16">
        <v>22</v>
      </c>
      <c r="T7" s="8">
        <f t="shared" ca="1" si="6"/>
        <v>0.82677541273540645</v>
      </c>
      <c r="U7" s="8"/>
      <c r="V7" s="16">
        <v>37</v>
      </c>
      <c r="W7" s="8">
        <f t="shared" ca="1" si="7"/>
        <v>0.87615524788245169</v>
      </c>
      <c r="X7" s="8"/>
      <c r="Y7" s="16">
        <v>52</v>
      </c>
      <c r="Z7" s="8">
        <f t="shared" ca="1" si="8"/>
        <v>0.58419778166122749</v>
      </c>
      <c r="AA7" s="16"/>
      <c r="AB7" s="16">
        <v>67</v>
      </c>
      <c r="AC7" s="9">
        <f t="shared" ca="1" si="9"/>
        <v>0.59861640752427736</v>
      </c>
      <c r="AE7" s="13">
        <v>7</v>
      </c>
      <c r="AF7" s="8">
        <f t="shared" ca="1" si="10"/>
        <v>0.78293018888519594</v>
      </c>
      <c r="AG7" s="8"/>
      <c r="AH7" s="16">
        <v>22</v>
      </c>
      <c r="AI7" s="8">
        <f t="shared" ca="1" si="11"/>
        <v>0.82715732496705052</v>
      </c>
      <c r="AJ7" s="8"/>
      <c r="AK7" s="16">
        <v>37</v>
      </c>
      <c r="AL7" s="8">
        <f t="shared" ca="1" si="12"/>
        <v>0.12161814891467237</v>
      </c>
      <c r="AM7" s="8"/>
      <c r="AN7" s="16">
        <v>52</v>
      </c>
      <c r="AO7" s="8">
        <f t="shared" ca="1" si="13"/>
        <v>0.51220531837222583</v>
      </c>
      <c r="AP7" s="8"/>
      <c r="AQ7" s="16">
        <v>67</v>
      </c>
      <c r="AR7" s="9">
        <f t="shared" ca="1" si="14"/>
        <v>0.6233758590582561</v>
      </c>
    </row>
    <row r="8" spans="1:44">
      <c r="A8" s="13">
        <v>8</v>
      </c>
      <c r="B8" s="8">
        <f t="shared" ca="1" si="0"/>
        <v>0.77173099667601675</v>
      </c>
      <c r="C8" s="8"/>
      <c r="D8" s="16">
        <v>23</v>
      </c>
      <c r="E8" s="8">
        <f t="shared" ca="1" si="1"/>
        <v>0.81687756872614148</v>
      </c>
      <c r="F8" s="8"/>
      <c r="G8" s="16">
        <v>38</v>
      </c>
      <c r="H8" s="8">
        <f t="shared" ca="1" si="2"/>
        <v>0.25275637692014341</v>
      </c>
      <c r="I8" s="8"/>
      <c r="J8" s="16">
        <v>53</v>
      </c>
      <c r="K8" s="8">
        <f t="shared" ca="1" si="3"/>
        <v>0.55742709997661111</v>
      </c>
      <c r="L8" s="8"/>
      <c r="M8" s="16">
        <v>68</v>
      </c>
      <c r="N8" s="9">
        <f t="shared" ca="1" si="4"/>
        <v>0.49884817753925803</v>
      </c>
      <c r="P8" s="13">
        <v>8</v>
      </c>
      <c r="Q8" s="8">
        <f t="shared" ca="1" si="5"/>
        <v>0.90934581892866784</v>
      </c>
      <c r="R8" s="8"/>
      <c r="S8" s="16">
        <v>23</v>
      </c>
      <c r="T8" s="8">
        <f t="shared" ca="1" si="6"/>
        <v>0.76990225139498991</v>
      </c>
      <c r="U8" s="8"/>
      <c r="V8" s="16">
        <v>38</v>
      </c>
      <c r="W8" s="8">
        <f t="shared" ca="1" si="7"/>
        <v>0.29461191584739088</v>
      </c>
      <c r="X8" s="8"/>
      <c r="Y8" s="16">
        <v>53</v>
      </c>
      <c r="Z8" s="8">
        <f t="shared" ca="1" si="8"/>
        <v>0.83693693545498649</v>
      </c>
      <c r="AA8" s="16"/>
      <c r="AB8" s="16">
        <v>68</v>
      </c>
      <c r="AC8" s="9">
        <f t="shared" ca="1" si="9"/>
        <v>4.8006456039108358E-2</v>
      </c>
      <c r="AE8" s="13">
        <v>8</v>
      </c>
      <c r="AF8" s="8">
        <f t="shared" ca="1" si="10"/>
        <v>3.5300460473064788E-2</v>
      </c>
      <c r="AG8" s="8"/>
      <c r="AH8" s="16">
        <v>23</v>
      </c>
      <c r="AI8" s="8">
        <f t="shared" ca="1" si="11"/>
        <v>0.43290581611972367</v>
      </c>
      <c r="AJ8" s="8"/>
      <c r="AK8" s="16">
        <v>38</v>
      </c>
      <c r="AL8" s="8">
        <f t="shared" ca="1" si="12"/>
        <v>0.75796273784357848</v>
      </c>
      <c r="AM8" s="8"/>
      <c r="AN8" s="16">
        <v>53</v>
      </c>
      <c r="AO8" s="8">
        <f t="shared" ca="1" si="13"/>
        <v>0.44227592207985333</v>
      </c>
      <c r="AP8" s="8"/>
      <c r="AQ8" s="16">
        <v>68</v>
      </c>
      <c r="AR8" s="9">
        <f t="shared" ca="1" si="14"/>
        <v>0.87649219343817975</v>
      </c>
    </row>
    <row r="9" spans="1:44">
      <c r="A9" s="13">
        <v>9</v>
      </c>
      <c r="B9" s="8">
        <f t="shared" ca="1" si="0"/>
        <v>0.26174438021760704</v>
      </c>
      <c r="C9" s="8"/>
      <c r="D9" s="16">
        <v>24</v>
      </c>
      <c r="E9" s="8">
        <f t="shared" ca="1" si="1"/>
        <v>0.87964160313800543</v>
      </c>
      <c r="F9" s="8"/>
      <c r="G9" s="16">
        <v>39</v>
      </c>
      <c r="H9" s="8">
        <f t="shared" ca="1" si="2"/>
        <v>0.38495210739752961</v>
      </c>
      <c r="I9" s="8"/>
      <c r="J9" s="16">
        <v>54</v>
      </c>
      <c r="K9" s="8">
        <f t="shared" ca="1" si="3"/>
        <v>0.45420266129297915</v>
      </c>
      <c r="L9" s="8"/>
      <c r="M9" s="16">
        <v>69</v>
      </c>
      <c r="N9" s="9">
        <f t="shared" ca="1" si="4"/>
        <v>0.39535022199435332</v>
      </c>
      <c r="P9" s="13">
        <v>9</v>
      </c>
      <c r="Q9" s="8">
        <f t="shared" ca="1" si="5"/>
        <v>0.47206959787694391</v>
      </c>
      <c r="R9" s="8"/>
      <c r="S9" s="16">
        <v>24</v>
      </c>
      <c r="T9" s="8">
        <f t="shared" ca="1" si="6"/>
        <v>0.17571842711346963</v>
      </c>
      <c r="U9" s="8"/>
      <c r="V9" s="16">
        <v>39</v>
      </c>
      <c r="W9" s="8">
        <f t="shared" ca="1" si="7"/>
        <v>0.98093061164552875</v>
      </c>
      <c r="X9" s="8"/>
      <c r="Y9" s="16">
        <v>54</v>
      </c>
      <c r="Z9" s="8">
        <f t="shared" ca="1" si="8"/>
        <v>0.40745586566009429</v>
      </c>
      <c r="AA9" s="16"/>
      <c r="AB9" s="16">
        <v>69</v>
      </c>
      <c r="AC9" s="9">
        <f t="shared" ca="1" si="9"/>
        <v>0.41905539375312895</v>
      </c>
      <c r="AE9" s="13">
        <v>9</v>
      </c>
      <c r="AF9" s="8">
        <f t="shared" ca="1" si="10"/>
        <v>0.22780623034883529</v>
      </c>
      <c r="AG9" s="8"/>
      <c r="AH9" s="16">
        <v>24</v>
      </c>
      <c r="AI9" s="8">
        <f t="shared" ca="1" si="11"/>
        <v>0.85531568980599149</v>
      </c>
      <c r="AJ9" s="8"/>
      <c r="AK9" s="16">
        <v>39</v>
      </c>
      <c r="AL9" s="8">
        <f t="shared" ca="1" si="12"/>
        <v>0.66765848350845625</v>
      </c>
      <c r="AM9" s="8"/>
      <c r="AN9" s="16">
        <v>54</v>
      </c>
      <c r="AO9" s="8">
        <f t="shared" ca="1" si="13"/>
        <v>0.49864979060451353</v>
      </c>
      <c r="AP9" s="8"/>
      <c r="AQ9" s="16">
        <v>69</v>
      </c>
      <c r="AR9" s="9">
        <f t="shared" ca="1" si="14"/>
        <v>0.38310976847012534</v>
      </c>
    </row>
    <row r="10" spans="1:44">
      <c r="A10" s="13">
        <v>10</v>
      </c>
      <c r="B10" s="8">
        <f t="shared" ca="1" si="0"/>
        <v>0.52007137412079651</v>
      </c>
      <c r="C10" s="8"/>
      <c r="D10" s="16">
        <v>25</v>
      </c>
      <c r="E10" s="8">
        <f t="shared" ca="1" si="1"/>
        <v>0.2142517268592794</v>
      </c>
      <c r="F10" s="8"/>
      <c r="G10" s="16">
        <v>40</v>
      </c>
      <c r="H10" s="8">
        <f t="shared" ca="1" si="2"/>
        <v>6.6467998900359371E-2</v>
      </c>
      <c r="I10" s="8"/>
      <c r="J10" s="16">
        <v>55</v>
      </c>
      <c r="K10" s="8">
        <f t="shared" ca="1" si="3"/>
        <v>0.89186881652535777</v>
      </c>
      <c r="L10" s="8"/>
      <c r="M10" s="16">
        <v>70</v>
      </c>
      <c r="N10" s="9">
        <f t="shared" ca="1" si="4"/>
        <v>0.86720251336071508</v>
      </c>
      <c r="P10" s="13">
        <v>10</v>
      </c>
      <c r="Q10" s="8">
        <f t="shared" ca="1" si="5"/>
        <v>0.66626938450623163</v>
      </c>
      <c r="R10" s="8"/>
      <c r="S10" s="16">
        <v>25</v>
      </c>
      <c r="T10" s="8">
        <f t="shared" ca="1" si="6"/>
        <v>0.75545213822052526</v>
      </c>
      <c r="U10" s="8"/>
      <c r="V10" s="16">
        <v>40</v>
      </c>
      <c r="W10" s="8">
        <f t="shared" ca="1" si="7"/>
        <v>0.68294114870225919</v>
      </c>
      <c r="X10" s="8"/>
      <c r="Y10" s="16">
        <v>55</v>
      </c>
      <c r="Z10" s="8">
        <f t="shared" ca="1" si="8"/>
        <v>0.51813572727912283</v>
      </c>
      <c r="AA10" s="16"/>
      <c r="AB10" s="16">
        <v>70</v>
      </c>
      <c r="AC10" s="9">
        <f t="shared" ca="1" si="9"/>
        <v>0.65022682569235057</v>
      </c>
      <c r="AE10" s="13">
        <v>10</v>
      </c>
      <c r="AF10" s="8">
        <f t="shared" ca="1" si="10"/>
        <v>0.85612080179256167</v>
      </c>
      <c r="AG10" s="8"/>
      <c r="AH10" s="16">
        <v>25</v>
      </c>
      <c r="AI10" s="8">
        <f t="shared" ca="1" si="11"/>
        <v>1.209443073023897E-2</v>
      </c>
      <c r="AJ10" s="8"/>
      <c r="AK10" s="16">
        <v>40</v>
      </c>
      <c r="AL10" s="8">
        <f t="shared" ca="1" si="12"/>
        <v>0.77820541035089619</v>
      </c>
      <c r="AM10" s="8"/>
      <c r="AN10" s="16">
        <v>55</v>
      </c>
      <c r="AO10" s="8">
        <f t="shared" ca="1" si="13"/>
        <v>0.42920825786817463</v>
      </c>
      <c r="AP10" s="8"/>
      <c r="AQ10" s="16">
        <v>70</v>
      </c>
      <c r="AR10" s="9">
        <f t="shared" ca="1" si="14"/>
        <v>0.63119607646593268</v>
      </c>
    </row>
    <row r="11" spans="1:44">
      <c r="A11" s="13">
        <v>11</v>
      </c>
      <c r="B11" s="8">
        <f t="shared" ca="1" si="0"/>
        <v>0.94463777492701084</v>
      </c>
      <c r="C11" s="8"/>
      <c r="D11" s="16">
        <v>26</v>
      </c>
      <c r="E11" s="8">
        <f t="shared" ca="1" si="1"/>
        <v>0.79819503110078316</v>
      </c>
      <c r="F11" s="8"/>
      <c r="G11" s="16">
        <v>41</v>
      </c>
      <c r="H11" s="8">
        <f t="shared" ca="1" si="2"/>
        <v>0.15588495428271731</v>
      </c>
      <c r="I11" s="8"/>
      <c r="J11" s="16">
        <v>56</v>
      </c>
      <c r="K11" s="8">
        <f t="shared" ca="1" si="3"/>
        <v>0.78119844853318765</v>
      </c>
      <c r="L11" s="8"/>
      <c r="M11" s="16">
        <v>71</v>
      </c>
      <c r="N11" s="9">
        <f t="shared" ca="1" si="4"/>
        <v>0.51259728162992779</v>
      </c>
      <c r="P11" s="13">
        <v>11</v>
      </c>
      <c r="Q11" s="8">
        <f t="shared" ca="1" si="5"/>
        <v>0.25196135358078164</v>
      </c>
      <c r="R11" s="8"/>
      <c r="S11" s="16">
        <v>26</v>
      </c>
      <c r="T11" s="8">
        <f t="shared" ca="1" si="6"/>
        <v>0.68214720672601636</v>
      </c>
      <c r="U11" s="8"/>
      <c r="V11" s="16">
        <v>41</v>
      </c>
      <c r="W11" s="8">
        <f t="shared" ca="1" si="7"/>
        <v>0.97984692576960608</v>
      </c>
      <c r="X11" s="8"/>
      <c r="Y11" s="16">
        <v>56</v>
      </c>
      <c r="Z11" s="8">
        <f t="shared" ca="1" si="8"/>
        <v>7.5727285978978265E-2</v>
      </c>
      <c r="AA11" s="16"/>
      <c r="AB11" s="16">
        <v>71</v>
      </c>
      <c r="AC11" s="9">
        <f t="shared" ca="1" si="9"/>
        <v>0.79570524462704384</v>
      </c>
      <c r="AE11" s="13">
        <v>11</v>
      </c>
      <c r="AF11" s="8">
        <f t="shared" ca="1" si="10"/>
        <v>2.9417473682729955E-2</v>
      </c>
      <c r="AG11" s="8"/>
      <c r="AH11" s="16">
        <v>26</v>
      </c>
      <c r="AI11" s="8">
        <f t="shared" ca="1" si="11"/>
        <v>0.27411572198906009</v>
      </c>
      <c r="AJ11" s="8"/>
      <c r="AK11" s="16">
        <v>41</v>
      </c>
      <c r="AL11" s="8">
        <f t="shared" ca="1" si="12"/>
        <v>0.64851614740705543</v>
      </c>
      <c r="AM11" s="8"/>
      <c r="AN11" s="16">
        <v>56</v>
      </c>
      <c r="AO11" s="8">
        <f t="shared" ca="1" si="13"/>
        <v>3.764158358553249E-2</v>
      </c>
      <c r="AP11" s="8"/>
      <c r="AQ11" s="16">
        <v>71</v>
      </c>
      <c r="AR11" s="9">
        <f t="shared" ca="1" si="14"/>
        <v>6.6431841265820246E-2</v>
      </c>
    </row>
    <row r="12" spans="1:44">
      <c r="A12" s="13">
        <v>12</v>
      </c>
      <c r="B12" s="8">
        <f t="shared" ca="1" si="0"/>
        <v>2.2169593193825277E-2</v>
      </c>
      <c r="C12" s="8"/>
      <c r="D12" s="16">
        <v>27</v>
      </c>
      <c r="E12" s="8">
        <f t="shared" ca="1" si="1"/>
        <v>0.6731003178891225</v>
      </c>
      <c r="F12" s="8"/>
      <c r="G12" s="16">
        <v>42</v>
      </c>
      <c r="H12" s="8">
        <f t="shared" ca="1" si="2"/>
        <v>0.13016614143860983</v>
      </c>
      <c r="I12" s="8"/>
      <c r="J12" s="16">
        <v>57</v>
      </c>
      <c r="K12" s="8">
        <f t="shared" ca="1" si="3"/>
        <v>0.23378015333681468</v>
      </c>
      <c r="L12" s="8"/>
      <c r="M12" s="16">
        <v>72</v>
      </c>
      <c r="N12" s="9">
        <f t="shared" ca="1" si="4"/>
        <v>0.75130732032993097</v>
      </c>
      <c r="P12" s="13">
        <v>12</v>
      </c>
      <c r="Q12" s="8">
        <f t="shared" ca="1" si="5"/>
        <v>0.91920214606050121</v>
      </c>
      <c r="R12" s="8"/>
      <c r="S12" s="16">
        <v>27</v>
      </c>
      <c r="T12" s="8">
        <f t="shared" ca="1" si="6"/>
        <v>0.44702525963390916</v>
      </c>
      <c r="U12" s="8"/>
      <c r="V12" s="16">
        <v>42</v>
      </c>
      <c r="W12" s="8">
        <f t="shared" ca="1" si="7"/>
        <v>0.78271033046816241</v>
      </c>
      <c r="X12" s="8"/>
      <c r="Y12" s="16">
        <v>57</v>
      </c>
      <c r="Z12" s="8">
        <f t="shared" ca="1" si="8"/>
        <v>0.5328950773448714</v>
      </c>
      <c r="AA12" s="16"/>
      <c r="AB12" s="16">
        <v>72</v>
      </c>
      <c r="AC12" s="9">
        <f t="shared" ca="1" si="9"/>
        <v>0.80778842500728765</v>
      </c>
      <c r="AE12" s="13">
        <v>12</v>
      </c>
      <c r="AF12" s="8">
        <f t="shared" ca="1" si="10"/>
        <v>0.14882253271842238</v>
      </c>
      <c r="AG12" s="8"/>
      <c r="AH12" s="16">
        <v>27</v>
      </c>
      <c r="AI12" s="8">
        <f t="shared" ca="1" si="11"/>
        <v>0.16806647614170411</v>
      </c>
      <c r="AJ12" s="8"/>
      <c r="AK12" s="16">
        <v>42</v>
      </c>
      <c r="AL12" s="8">
        <f t="shared" ca="1" si="12"/>
        <v>0.40083074111250638</v>
      </c>
      <c r="AM12" s="8"/>
      <c r="AN12" s="16">
        <v>57</v>
      </c>
      <c r="AO12" s="8">
        <f t="shared" ca="1" si="13"/>
        <v>0.63054340265840148</v>
      </c>
      <c r="AP12" s="8"/>
      <c r="AQ12" s="16">
        <v>72</v>
      </c>
      <c r="AR12" s="9">
        <f t="shared" ca="1" si="14"/>
        <v>0.74962295149197233</v>
      </c>
    </row>
    <row r="13" spans="1:44">
      <c r="A13" s="13">
        <v>13</v>
      </c>
      <c r="B13" s="8">
        <f t="shared" ca="1" si="0"/>
        <v>0.36346034242951653</v>
      </c>
      <c r="C13" s="8"/>
      <c r="D13" s="16">
        <v>28</v>
      </c>
      <c r="E13" s="8">
        <f t="shared" ca="1" si="1"/>
        <v>0.10486421495240195</v>
      </c>
      <c r="F13" s="8"/>
      <c r="G13" s="16">
        <v>43</v>
      </c>
      <c r="H13" s="8">
        <f t="shared" ca="1" si="2"/>
        <v>0.59927712124486188</v>
      </c>
      <c r="I13" s="8"/>
      <c r="J13" s="16">
        <v>58</v>
      </c>
      <c r="K13" s="8">
        <f t="shared" ca="1" si="3"/>
        <v>0.24358789122482183</v>
      </c>
      <c r="L13" s="8"/>
      <c r="M13" s="16">
        <v>73</v>
      </c>
      <c r="N13" s="9">
        <f t="shared" ca="1" si="4"/>
        <v>0.91281439558085875</v>
      </c>
      <c r="P13" s="13">
        <v>13</v>
      </c>
      <c r="Q13" s="8">
        <f t="shared" ca="1" si="5"/>
        <v>0.80983299975378908</v>
      </c>
      <c r="R13" s="8"/>
      <c r="S13" s="16">
        <v>28</v>
      </c>
      <c r="T13" s="8">
        <f t="shared" ca="1" si="6"/>
        <v>0.28928042403397136</v>
      </c>
      <c r="U13" s="8"/>
      <c r="V13" s="16">
        <v>43</v>
      </c>
      <c r="W13" s="8">
        <f t="shared" ca="1" si="7"/>
        <v>0.82441704736557231</v>
      </c>
      <c r="X13" s="8"/>
      <c r="Y13" s="16">
        <v>58</v>
      </c>
      <c r="Z13" s="8">
        <f t="shared" ca="1" si="8"/>
        <v>0.39293807669077452</v>
      </c>
      <c r="AA13" s="16"/>
      <c r="AB13" s="16">
        <v>73</v>
      </c>
      <c r="AC13" s="9">
        <f t="shared" ca="1" si="9"/>
        <v>0.7424842138070431</v>
      </c>
      <c r="AE13" s="13">
        <v>13</v>
      </c>
      <c r="AF13" s="8">
        <f t="shared" ca="1" si="10"/>
        <v>0.68107162216478112</v>
      </c>
      <c r="AG13" s="8"/>
      <c r="AH13" s="16">
        <v>28</v>
      </c>
      <c r="AI13" s="8">
        <f t="shared" ca="1" si="11"/>
        <v>0.3685352853624646</v>
      </c>
      <c r="AJ13" s="8"/>
      <c r="AK13" s="16">
        <v>43</v>
      </c>
      <c r="AL13" s="8">
        <f t="shared" ca="1" si="12"/>
        <v>0.48550932875911168</v>
      </c>
      <c r="AM13" s="8"/>
      <c r="AN13" s="16">
        <v>58</v>
      </c>
      <c r="AO13" s="8">
        <f t="shared" ca="1" si="13"/>
        <v>0.69370574393257645</v>
      </c>
      <c r="AP13" s="8"/>
      <c r="AQ13" s="16">
        <v>73</v>
      </c>
      <c r="AR13" s="9">
        <f t="shared" ca="1" si="14"/>
        <v>0.62276222300885864</v>
      </c>
    </row>
    <row r="14" spans="1:44">
      <c r="A14" s="13">
        <v>14</v>
      </c>
      <c r="B14" s="8">
        <f t="shared" ca="1" si="0"/>
        <v>0.31036981955766529</v>
      </c>
      <c r="C14" s="8"/>
      <c r="D14" s="16">
        <v>29</v>
      </c>
      <c r="E14" s="8">
        <f t="shared" ca="1" si="1"/>
        <v>5.7211106011054724E-3</v>
      </c>
      <c r="F14" s="8"/>
      <c r="G14" s="16">
        <v>44</v>
      </c>
      <c r="H14" s="8">
        <f t="shared" ca="1" si="2"/>
        <v>0.66161327074907006</v>
      </c>
      <c r="I14" s="8"/>
      <c r="J14" s="16">
        <v>59</v>
      </c>
      <c r="K14" s="8">
        <f t="shared" ca="1" si="3"/>
        <v>0.75260466029094075</v>
      </c>
      <c r="L14" s="8"/>
      <c r="M14" s="16">
        <v>74</v>
      </c>
      <c r="N14" s="9">
        <f t="shared" ca="1" si="4"/>
        <v>0.94460218364540749</v>
      </c>
      <c r="P14" s="13">
        <v>14</v>
      </c>
      <c r="Q14" s="8">
        <f t="shared" ca="1" si="5"/>
        <v>0.35757137751746437</v>
      </c>
      <c r="R14" s="8"/>
      <c r="S14" s="16">
        <v>29</v>
      </c>
      <c r="T14" s="8">
        <f t="shared" ca="1" si="6"/>
        <v>0.8832003786082262</v>
      </c>
      <c r="U14" s="8"/>
      <c r="V14" s="16">
        <v>44</v>
      </c>
      <c r="W14" s="8">
        <f t="shared" ca="1" si="7"/>
        <v>0.66548526992494261</v>
      </c>
      <c r="X14" s="8"/>
      <c r="Y14" s="16">
        <v>59</v>
      </c>
      <c r="Z14" s="8">
        <f t="shared" ca="1" si="8"/>
        <v>0.33010170042345999</v>
      </c>
      <c r="AA14" s="16"/>
      <c r="AB14" s="16">
        <v>74</v>
      </c>
      <c r="AC14" s="9">
        <f t="shared" ca="1" si="9"/>
        <v>0.21585136446903641</v>
      </c>
      <c r="AE14" s="13">
        <v>14</v>
      </c>
      <c r="AF14" s="8">
        <f t="shared" ca="1" si="10"/>
        <v>0.98938950757068878</v>
      </c>
      <c r="AG14" s="8"/>
      <c r="AH14" s="16">
        <v>29</v>
      </c>
      <c r="AI14" s="8">
        <f t="shared" ca="1" si="11"/>
        <v>0.41140202756721644</v>
      </c>
      <c r="AJ14" s="8"/>
      <c r="AK14" s="16">
        <v>44</v>
      </c>
      <c r="AL14" s="8">
        <f t="shared" ca="1" si="12"/>
        <v>8.1969938748828519E-2</v>
      </c>
      <c r="AM14" s="8"/>
      <c r="AN14" s="16">
        <v>59</v>
      </c>
      <c r="AO14" s="8">
        <f t="shared" ca="1" si="13"/>
        <v>0.98438604680917197</v>
      </c>
      <c r="AP14" s="8"/>
      <c r="AQ14" s="16">
        <v>74</v>
      </c>
      <c r="AR14" s="9">
        <f t="shared" ca="1" si="14"/>
        <v>0.55604745942415978</v>
      </c>
    </row>
    <row r="15" spans="1:44" ht="17.25" thickBot="1">
      <c r="A15" s="14">
        <v>15</v>
      </c>
      <c r="B15" s="10">
        <f t="shared" ca="1" si="0"/>
        <v>0.15581662281916009</v>
      </c>
      <c r="C15" s="10"/>
      <c r="D15" s="17">
        <v>30</v>
      </c>
      <c r="E15" s="10">
        <f t="shared" ca="1" si="1"/>
        <v>0.70636870782845096</v>
      </c>
      <c r="F15" s="10"/>
      <c r="G15" s="17">
        <v>45</v>
      </c>
      <c r="H15" s="10">
        <f t="shared" ca="1" si="2"/>
        <v>0.32828128563813308</v>
      </c>
      <c r="I15" s="10"/>
      <c r="J15" s="17">
        <v>60</v>
      </c>
      <c r="K15" s="10">
        <f t="shared" ca="1" si="3"/>
        <v>0.8051974415995965</v>
      </c>
      <c r="L15" s="10"/>
      <c r="M15" s="17">
        <v>75</v>
      </c>
      <c r="N15" s="11">
        <f t="shared" ca="1" si="4"/>
        <v>0.15605494895666616</v>
      </c>
      <c r="P15" s="14">
        <v>15</v>
      </c>
      <c r="Q15" s="10">
        <f t="shared" ca="1" si="5"/>
        <v>0.54756527064086125</v>
      </c>
      <c r="R15" s="10"/>
      <c r="S15" s="17">
        <v>30</v>
      </c>
      <c r="T15" s="10">
        <f t="shared" ca="1" si="6"/>
        <v>5.7689640300317979E-3</v>
      </c>
      <c r="U15" s="10"/>
      <c r="V15" s="17">
        <v>45</v>
      </c>
      <c r="W15" s="10">
        <f t="shared" ca="1" si="7"/>
        <v>0.54009427301101842</v>
      </c>
      <c r="X15" s="10"/>
      <c r="Y15" s="17">
        <v>60</v>
      </c>
      <c r="Z15" s="10">
        <f t="shared" ca="1" si="8"/>
        <v>0.64992575414086073</v>
      </c>
      <c r="AA15" s="17"/>
      <c r="AB15" s="17">
        <v>75</v>
      </c>
      <c r="AC15" s="11">
        <f t="shared" ca="1" si="9"/>
        <v>0.46879928423195372</v>
      </c>
      <c r="AE15" s="14">
        <v>15</v>
      </c>
      <c r="AF15" s="10">
        <f t="shared" ca="1" si="10"/>
        <v>0.62231968003838634</v>
      </c>
      <c r="AG15" s="10"/>
      <c r="AH15" s="17">
        <v>30</v>
      </c>
      <c r="AI15" s="10">
        <f t="shared" ca="1" si="11"/>
        <v>0.12225658646890269</v>
      </c>
      <c r="AJ15" s="10"/>
      <c r="AK15" s="17">
        <v>45</v>
      </c>
      <c r="AL15" s="10">
        <f t="shared" ca="1" si="12"/>
        <v>4.0325419785456562E-2</v>
      </c>
      <c r="AM15" s="10"/>
      <c r="AN15" s="17">
        <v>60</v>
      </c>
      <c r="AO15" s="10">
        <f t="shared" ca="1" si="13"/>
        <v>0.62380171522546801</v>
      </c>
      <c r="AP15" s="10"/>
      <c r="AQ15" s="17">
        <v>75</v>
      </c>
      <c r="AR15" s="11">
        <f t="shared" ca="1" si="14"/>
        <v>0.57418639950162664</v>
      </c>
    </row>
    <row r="20" spans="1:44" ht="17.25" thickBot="1"/>
    <row r="21" spans="1:44">
      <c r="A21" s="12">
        <v>1</v>
      </c>
      <c r="B21" s="6">
        <f t="shared" ref="B21:B35" ca="1" si="15">RAND()</f>
        <v>0.4285936351747931</v>
      </c>
      <c r="C21" s="6"/>
      <c r="D21" s="15">
        <v>16</v>
      </c>
      <c r="E21" s="6">
        <f t="shared" ref="E21:E35" ca="1" si="16">RAND()</f>
        <v>0.75557918312981187</v>
      </c>
      <c r="F21" s="6"/>
      <c r="G21" s="15">
        <v>31</v>
      </c>
      <c r="H21" s="6">
        <f t="shared" ref="H21:H35" ca="1" si="17">RAND()</f>
        <v>0.4360988006256572</v>
      </c>
      <c r="I21" s="6"/>
      <c r="J21" s="15">
        <v>46</v>
      </c>
      <c r="K21" s="6">
        <f t="shared" ref="K21:K35" ca="1" si="18">RAND()</f>
        <v>0.37937010277081762</v>
      </c>
      <c r="L21" s="6"/>
      <c r="M21" s="15">
        <v>61</v>
      </c>
      <c r="N21" s="7">
        <f t="shared" ref="N21:N35" ca="1" si="19">RAND()</f>
        <v>0.8373265261276841</v>
      </c>
      <c r="P21" s="12">
        <v>1</v>
      </c>
      <c r="Q21" s="6">
        <f t="shared" ref="Q21:Q35" ca="1" si="20">RAND()</f>
        <v>0.23831742686796886</v>
      </c>
      <c r="R21" s="6"/>
      <c r="S21" s="15">
        <v>16</v>
      </c>
      <c r="T21" s="6">
        <f t="shared" ref="T21:T35" ca="1" si="21">RAND()</f>
        <v>0.77183628068600463</v>
      </c>
      <c r="U21" s="6"/>
      <c r="V21" s="15">
        <v>31</v>
      </c>
      <c r="W21" s="6">
        <f t="shared" ref="W21:W35" ca="1" si="22">RAND()</f>
        <v>0.81846338093549842</v>
      </c>
      <c r="X21" s="6"/>
      <c r="Y21" s="15">
        <v>46</v>
      </c>
      <c r="Z21" s="6">
        <f t="shared" ref="Z21:Z35" ca="1" si="23">RAND()</f>
        <v>0.6646006705145141</v>
      </c>
      <c r="AA21" s="6"/>
      <c r="AB21" s="15">
        <v>61</v>
      </c>
      <c r="AC21" s="7">
        <f t="shared" ref="AC21:AC35" ca="1" si="24">RAND()</f>
        <v>0.74771988763333119</v>
      </c>
      <c r="AE21" s="12">
        <v>1</v>
      </c>
      <c r="AF21" s="6">
        <f t="shared" ref="AF21:AF35" ca="1" si="25">RAND()</f>
        <v>0.99990324956269472</v>
      </c>
      <c r="AG21" s="6"/>
      <c r="AH21" s="15">
        <v>16</v>
      </c>
      <c r="AI21" s="6">
        <f t="shared" ref="AI21:AI35" ca="1" si="26">RAND()</f>
        <v>0.2097711231703705</v>
      </c>
      <c r="AJ21" s="6"/>
      <c r="AK21" s="15">
        <v>31</v>
      </c>
      <c r="AL21" s="6">
        <f t="shared" ref="AL21:AL35" ca="1" si="27">RAND()</f>
        <v>0.18179067267205451</v>
      </c>
      <c r="AM21" s="6"/>
      <c r="AN21" s="15">
        <v>46</v>
      </c>
      <c r="AO21" s="6">
        <f t="shared" ref="AO21:AO35" ca="1" si="28">RAND()</f>
        <v>0.83581858228408612</v>
      </c>
      <c r="AP21" s="6"/>
      <c r="AQ21" s="15">
        <v>61</v>
      </c>
      <c r="AR21" s="7">
        <f t="shared" ref="AR21:AR35" ca="1" si="29">RAND()</f>
        <v>1.9223412186653133E-2</v>
      </c>
    </row>
    <row r="22" spans="1:44">
      <c r="A22" s="13">
        <v>2</v>
      </c>
      <c r="B22" s="8">
        <f t="shared" ca="1" si="15"/>
        <v>3.56452081103108E-2</v>
      </c>
      <c r="C22" s="8"/>
      <c r="D22" s="16">
        <v>17</v>
      </c>
      <c r="E22" s="8">
        <f t="shared" ca="1" si="16"/>
        <v>0.50619374643962056</v>
      </c>
      <c r="F22" s="8"/>
      <c r="G22" s="16">
        <v>32</v>
      </c>
      <c r="H22" s="8">
        <f t="shared" ca="1" si="17"/>
        <v>0.60722331482657799</v>
      </c>
      <c r="I22" s="8"/>
      <c r="J22" s="16">
        <v>47</v>
      </c>
      <c r="K22" s="8">
        <f t="shared" ca="1" si="18"/>
        <v>0.92582509771749366</v>
      </c>
      <c r="L22" s="8"/>
      <c r="M22" s="16">
        <v>62</v>
      </c>
      <c r="N22" s="9">
        <f t="shared" ca="1" si="19"/>
        <v>9.5523106405472125E-2</v>
      </c>
      <c r="P22" s="13">
        <v>2</v>
      </c>
      <c r="Q22" s="8">
        <f t="shared" ca="1" si="20"/>
        <v>0.44512784397053129</v>
      </c>
      <c r="R22" s="8"/>
      <c r="S22" s="16">
        <v>17</v>
      </c>
      <c r="T22" s="8">
        <f t="shared" ca="1" si="21"/>
        <v>0.27150942130502309</v>
      </c>
      <c r="U22" s="8"/>
      <c r="V22" s="16">
        <v>32</v>
      </c>
      <c r="W22" s="8">
        <f t="shared" ca="1" si="22"/>
        <v>1.3929257363227032E-2</v>
      </c>
      <c r="X22" s="8"/>
      <c r="Y22" s="16">
        <v>47</v>
      </c>
      <c r="Z22" s="8">
        <f t="shared" ca="1" si="23"/>
        <v>0.43137092469948712</v>
      </c>
      <c r="AA22" s="8"/>
      <c r="AB22" s="16">
        <v>62</v>
      </c>
      <c r="AC22" s="9">
        <f t="shared" ca="1" si="24"/>
        <v>0.1958653416844669</v>
      </c>
      <c r="AE22" s="13">
        <v>2</v>
      </c>
      <c r="AF22" s="8">
        <f t="shared" ca="1" si="25"/>
        <v>0.12357859297835749</v>
      </c>
      <c r="AG22" s="8"/>
      <c r="AH22" s="16">
        <v>17</v>
      </c>
      <c r="AI22" s="8">
        <f t="shared" ca="1" si="26"/>
        <v>0.27546219502556379</v>
      </c>
      <c r="AJ22" s="8"/>
      <c r="AK22" s="16">
        <v>32</v>
      </c>
      <c r="AL22" s="8">
        <f t="shared" ca="1" si="27"/>
        <v>0.22461515644317054</v>
      </c>
      <c r="AM22" s="8"/>
      <c r="AN22" s="16">
        <v>47</v>
      </c>
      <c r="AO22" s="8">
        <f t="shared" ca="1" si="28"/>
        <v>4.6125124991741595E-3</v>
      </c>
      <c r="AP22" s="8"/>
      <c r="AQ22" s="16">
        <v>62</v>
      </c>
      <c r="AR22" s="9">
        <f t="shared" ca="1" si="29"/>
        <v>0.6295293374734815</v>
      </c>
    </row>
    <row r="23" spans="1:44">
      <c r="A23" s="13">
        <v>3</v>
      </c>
      <c r="B23" s="8">
        <f t="shared" ca="1" si="15"/>
        <v>0.20222849162236411</v>
      </c>
      <c r="C23" s="8"/>
      <c r="D23" s="16">
        <v>18</v>
      </c>
      <c r="E23" s="8">
        <f t="shared" ca="1" si="16"/>
        <v>4.6059736957605346E-2</v>
      </c>
      <c r="F23" s="8"/>
      <c r="G23" s="16">
        <v>33</v>
      </c>
      <c r="H23" s="8">
        <f t="shared" ca="1" si="17"/>
        <v>0.80640202033389452</v>
      </c>
      <c r="I23" s="8"/>
      <c r="J23" s="16">
        <v>48</v>
      </c>
      <c r="K23" s="8">
        <f t="shared" ca="1" si="18"/>
        <v>8.5746480667024505E-2</v>
      </c>
      <c r="L23" s="8"/>
      <c r="M23" s="16">
        <v>63</v>
      </c>
      <c r="N23" s="9">
        <f t="shared" ca="1" si="19"/>
        <v>0.41456619368094727</v>
      </c>
      <c r="P23" s="13">
        <v>3</v>
      </c>
      <c r="Q23" s="8">
        <f t="shared" ca="1" si="20"/>
        <v>0.7646810748431091</v>
      </c>
      <c r="R23" s="8"/>
      <c r="S23" s="16">
        <v>18</v>
      </c>
      <c r="T23" s="8">
        <f t="shared" ca="1" si="21"/>
        <v>0.46717915273970423</v>
      </c>
      <c r="U23" s="8"/>
      <c r="V23" s="16">
        <v>33</v>
      </c>
      <c r="W23" s="8">
        <f t="shared" ca="1" si="22"/>
        <v>0.27391012207141441</v>
      </c>
      <c r="X23" s="8"/>
      <c r="Y23" s="16">
        <v>48</v>
      </c>
      <c r="Z23" s="8">
        <f t="shared" ca="1" si="23"/>
        <v>0.23364492166369433</v>
      </c>
      <c r="AA23" s="8"/>
      <c r="AB23" s="16">
        <v>63</v>
      </c>
      <c r="AC23" s="9">
        <f t="shared" ca="1" si="24"/>
        <v>0.47748742576102776</v>
      </c>
      <c r="AE23" s="13">
        <v>3</v>
      </c>
      <c r="AF23" s="8">
        <f t="shared" ca="1" si="25"/>
        <v>0.89853120388921814</v>
      </c>
      <c r="AG23" s="8"/>
      <c r="AH23" s="16">
        <v>18</v>
      </c>
      <c r="AI23" s="8">
        <f t="shared" ca="1" si="26"/>
        <v>0.76907650434300412</v>
      </c>
      <c r="AJ23" s="8"/>
      <c r="AK23" s="16">
        <v>33</v>
      </c>
      <c r="AL23" s="8">
        <f t="shared" ca="1" si="27"/>
        <v>7.3003951236765841E-2</v>
      </c>
      <c r="AM23" s="8"/>
      <c r="AN23" s="16">
        <v>48</v>
      </c>
      <c r="AO23" s="8">
        <f t="shared" ca="1" si="28"/>
        <v>0.87076557916509834</v>
      </c>
      <c r="AP23" s="8"/>
      <c r="AQ23" s="16">
        <v>63</v>
      </c>
      <c r="AR23" s="9">
        <f t="shared" ca="1" si="29"/>
        <v>0.75486678776324567</v>
      </c>
    </row>
    <row r="24" spans="1:44">
      <c r="A24" s="13">
        <v>4</v>
      </c>
      <c r="B24" s="8">
        <f t="shared" ca="1" si="15"/>
        <v>0.27535781241314106</v>
      </c>
      <c r="C24" s="8"/>
      <c r="D24" s="16">
        <v>19</v>
      </c>
      <c r="E24" s="8">
        <f t="shared" ca="1" si="16"/>
        <v>0.14535495121349284</v>
      </c>
      <c r="F24" s="8"/>
      <c r="G24" s="16">
        <v>34</v>
      </c>
      <c r="H24" s="8">
        <f t="shared" ca="1" si="17"/>
        <v>0.72817027625257524</v>
      </c>
      <c r="I24" s="8"/>
      <c r="J24" s="16">
        <v>49</v>
      </c>
      <c r="K24" s="8">
        <f t="shared" ca="1" si="18"/>
        <v>0.9043318974560639</v>
      </c>
      <c r="L24" s="8"/>
      <c r="M24" s="16">
        <v>64</v>
      </c>
      <c r="N24" s="9">
        <f t="shared" ca="1" si="19"/>
        <v>0.44083042990439048</v>
      </c>
      <c r="P24" s="13">
        <v>4</v>
      </c>
      <c r="Q24" s="8">
        <f t="shared" ca="1" si="20"/>
        <v>0.14720675101954284</v>
      </c>
      <c r="R24" s="8"/>
      <c r="S24" s="16">
        <v>19</v>
      </c>
      <c r="T24" s="8">
        <f t="shared" ca="1" si="21"/>
        <v>0.48677889494890292</v>
      </c>
      <c r="U24" s="8"/>
      <c r="V24" s="16">
        <v>34</v>
      </c>
      <c r="W24" s="8">
        <f t="shared" ca="1" si="22"/>
        <v>0.99631064593870211</v>
      </c>
      <c r="X24" s="8"/>
      <c r="Y24" s="16">
        <v>49</v>
      </c>
      <c r="Z24" s="8">
        <f t="shared" ca="1" si="23"/>
        <v>0.86519840534732462</v>
      </c>
      <c r="AA24" s="8"/>
      <c r="AB24" s="16">
        <v>64</v>
      </c>
      <c r="AC24" s="9">
        <f t="shared" ca="1" si="24"/>
        <v>0.71570544974513595</v>
      </c>
      <c r="AE24" s="13">
        <v>4</v>
      </c>
      <c r="AF24" s="8">
        <f t="shared" ca="1" si="25"/>
        <v>0.80530466740625251</v>
      </c>
      <c r="AG24" s="8"/>
      <c r="AH24" s="16">
        <v>19</v>
      </c>
      <c r="AI24" s="8">
        <f t="shared" ca="1" si="26"/>
        <v>0.47711303174788611</v>
      </c>
      <c r="AJ24" s="8"/>
      <c r="AK24" s="16">
        <v>34</v>
      </c>
      <c r="AL24" s="8">
        <f t="shared" ca="1" si="27"/>
        <v>0.91546675805358602</v>
      </c>
      <c r="AM24" s="8"/>
      <c r="AN24" s="16">
        <v>49</v>
      </c>
      <c r="AO24" s="8">
        <f t="shared" ca="1" si="28"/>
        <v>0.19328116707299703</v>
      </c>
      <c r="AP24" s="8"/>
      <c r="AQ24" s="16">
        <v>64</v>
      </c>
      <c r="AR24" s="9">
        <f t="shared" ca="1" si="29"/>
        <v>0.41924543960983351</v>
      </c>
    </row>
    <row r="25" spans="1:44">
      <c r="A25" s="13">
        <v>5</v>
      </c>
      <c r="B25" s="8">
        <f t="shared" ca="1" si="15"/>
        <v>0.24117804461164094</v>
      </c>
      <c r="C25" s="8"/>
      <c r="D25" s="16">
        <v>20</v>
      </c>
      <c r="E25" s="8">
        <f t="shared" ca="1" si="16"/>
        <v>2.519277233271866E-2</v>
      </c>
      <c r="F25" s="8"/>
      <c r="G25" s="16">
        <v>35</v>
      </c>
      <c r="H25" s="8">
        <f t="shared" ca="1" si="17"/>
        <v>0.99015674914375651</v>
      </c>
      <c r="I25" s="8"/>
      <c r="J25" s="16">
        <v>50</v>
      </c>
      <c r="K25" s="8">
        <f t="shared" ca="1" si="18"/>
        <v>0.58008728232273521</v>
      </c>
      <c r="L25" s="8"/>
      <c r="M25" s="16">
        <v>65</v>
      </c>
      <c r="N25" s="9">
        <f t="shared" ca="1" si="19"/>
        <v>0.33244471682809751</v>
      </c>
      <c r="P25" s="13">
        <v>5</v>
      </c>
      <c r="Q25" s="8">
        <f t="shared" ca="1" si="20"/>
        <v>0.51461580873791068</v>
      </c>
      <c r="R25" s="8"/>
      <c r="S25" s="16">
        <v>20</v>
      </c>
      <c r="T25" s="8">
        <f t="shared" ca="1" si="21"/>
        <v>0.83117401839360172</v>
      </c>
      <c r="U25" s="8"/>
      <c r="V25" s="16">
        <v>35</v>
      </c>
      <c r="W25" s="8">
        <f t="shared" ca="1" si="22"/>
        <v>0.37026667232278365</v>
      </c>
      <c r="X25" s="8"/>
      <c r="Y25" s="16">
        <v>50</v>
      </c>
      <c r="Z25" s="8">
        <f t="shared" ca="1" si="23"/>
        <v>0.22208458606698056</v>
      </c>
      <c r="AA25" s="8"/>
      <c r="AB25" s="16">
        <v>65</v>
      </c>
      <c r="AC25" s="9">
        <f t="shared" ca="1" si="24"/>
        <v>0.3189321611159851</v>
      </c>
      <c r="AE25" s="13">
        <v>5</v>
      </c>
      <c r="AF25" s="8">
        <f t="shared" ca="1" si="25"/>
        <v>0.11152559564439402</v>
      </c>
      <c r="AG25" s="8"/>
      <c r="AH25" s="16">
        <v>20</v>
      </c>
      <c r="AI25" s="8">
        <f t="shared" ca="1" si="26"/>
        <v>0.81815155226623382</v>
      </c>
      <c r="AJ25" s="8"/>
      <c r="AK25" s="16">
        <v>35</v>
      </c>
      <c r="AL25" s="8">
        <f t="shared" ca="1" si="27"/>
        <v>0.59740727077981692</v>
      </c>
      <c r="AM25" s="8"/>
      <c r="AN25" s="16">
        <v>50</v>
      </c>
      <c r="AO25" s="8">
        <f t="shared" ca="1" si="28"/>
        <v>1.0104670509226255E-2</v>
      </c>
      <c r="AP25" s="8"/>
      <c r="AQ25" s="16">
        <v>65</v>
      </c>
      <c r="AR25" s="9">
        <f t="shared" ca="1" si="29"/>
        <v>0.66468259237275062</v>
      </c>
    </row>
    <row r="26" spans="1:44">
      <c r="A26" s="13">
        <v>6</v>
      </c>
      <c r="B26" s="8">
        <f t="shared" ca="1" si="15"/>
        <v>0.35211867146827758</v>
      </c>
      <c r="C26" s="8"/>
      <c r="D26" s="16">
        <v>21</v>
      </c>
      <c r="E26" s="8">
        <f t="shared" ca="1" si="16"/>
        <v>5.9095931276523905E-2</v>
      </c>
      <c r="F26" s="8"/>
      <c r="G26" s="16">
        <v>36</v>
      </c>
      <c r="H26" s="8">
        <f t="shared" ca="1" si="17"/>
        <v>0.44414463407986293</v>
      </c>
      <c r="I26" s="8"/>
      <c r="J26" s="16">
        <v>51</v>
      </c>
      <c r="K26" s="8">
        <f t="shared" ca="1" si="18"/>
        <v>0.18751662178597195</v>
      </c>
      <c r="L26" s="8"/>
      <c r="M26" s="16">
        <v>66</v>
      </c>
      <c r="N26" s="9">
        <f t="shared" ca="1" si="19"/>
        <v>0.62322469511542955</v>
      </c>
      <c r="P26" s="13">
        <v>6</v>
      </c>
      <c r="Q26" s="8">
        <f t="shared" ca="1" si="20"/>
        <v>0.40469011162751123</v>
      </c>
      <c r="R26" s="8"/>
      <c r="S26" s="16">
        <v>21</v>
      </c>
      <c r="T26" s="8">
        <f t="shared" ca="1" si="21"/>
        <v>0.76605410847609234</v>
      </c>
      <c r="U26" s="8"/>
      <c r="V26" s="16">
        <v>36</v>
      </c>
      <c r="W26" s="8">
        <f t="shared" ca="1" si="22"/>
        <v>1.8715890447428607E-2</v>
      </c>
      <c r="X26" s="8"/>
      <c r="Y26" s="16">
        <v>51</v>
      </c>
      <c r="Z26" s="8">
        <f t="shared" ca="1" si="23"/>
        <v>0.80394347443512282</v>
      </c>
      <c r="AA26" s="8"/>
      <c r="AB26" s="16">
        <v>66</v>
      </c>
      <c r="AC26" s="9">
        <f t="shared" ca="1" si="24"/>
        <v>0.11122674284280432</v>
      </c>
      <c r="AE26" s="13">
        <v>6</v>
      </c>
      <c r="AF26" s="8">
        <f t="shared" ca="1" si="25"/>
        <v>0.2652361782188184</v>
      </c>
      <c r="AG26" s="8"/>
      <c r="AH26" s="16">
        <v>21</v>
      </c>
      <c r="AI26" s="8">
        <f t="shared" ca="1" si="26"/>
        <v>0.65252774989554663</v>
      </c>
      <c r="AJ26" s="8"/>
      <c r="AK26" s="16">
        <v>36</v>
      </c>
      <c r="AL26" s="8">
        <f t="shared" ca="1" si="27"/>
        <v>0.51167251761502242</v>
      </c>
      <c r="AM26" s="8"/>
      <c r="AN26" s="16">
        <v>51</v>
      </c>
      <c r="AO26" s="8">
        <f t="shared" ca="1" si="28"/>
        <v>0.76382846173704344</v>
      </c>
      <c r="AP26" s="8"/>
      <c r="AQ26" s="16">
        <v>66</v>
      </c>
      <c r="AR26" s="9">
        <f t="shared" ca="1" si="29"/>
        <v>0.76055455793111193</v>
      </c>
    </row>
    <row r="27" spans="1:44">
      <c r="A27" s="13">
        <v>7</v>
      </c>
      <c r="B27" s="8">
        <f t="shared" ca="1" si="15"/>
        <v>0.19378711921560043</v>
      </c>
      <c r="C27" s="8"/>
      <c r="D27" s="16">
        <v>22</v>
      </c>
      <c r="E27" s="8">
        <f t="shared" ca="1" si="16"/>
        <v>6.8844454082742867E-2</v>
      </c>
      <c r="F27" s="8"/>
      <c r="G27" s="16">
        <v>37</v>
      </c>
      <c r="H27" s="8">
        <f t="shared" ca="1" si="17"/>
        <v>0.52692998334443042</v>
      </c>
      <c r="I27" s="8"/>
      <c r="J27" s="16">
        <v>52</v>
      </c>
      <c r="K27" s="8">
        <f t="shared" ca="1" si="18"/>
        <v>0.77010627986274827</v>
      </c>
      <c r="L27" s="8"/>
      <c r="M27" s="16">
        <v>67</v>
      </c>
      <c r="N27" s="9">
        <f t="shared" ca="1" si="19"/>
        <v>0.91758638799491921</v>
      </c>
      <c r="P27" s="13">
        <v>7</v>
      </c>
      <c r="Q27" s="8">
        <f t="shared" ca="1" si="20"/>
        <v>0.90177091429632028</v>
      </c>
      <c r="R27" s="8"/>
      <c r="S27" s="16">
        <v>22</v>
      </c>
      <c r="T27" s="8">
        <f t="shared" ca="1" si="21"/>
        <v>0.43066411699796614</v>
      </c>
      <c r="U27" s="8"/>
      <c r="V27" s="16">
        <v>37</v>
      </c>
      <c r="W27" s="8">
        <f t="shared" ca="1" si="22"/>
        <v>0.67537331204636741</v>
      </c>
      <c r="X27" s="8"/>
      <c r="Y27" s="16">
        <v>52</v>
      </c>
      <c r="Z27" s="8">
        <f t="shared" ca="1" si="23"/>
        <v>0.88816997983160118</v>
      </c>
      <c r="AA27" s="8"/>
      <c r="AB27" s="16">
        <v>67</v>
      </c>
      <c r="AC27" s="9">
        <f t="shared" ca="1" si="24"/>
        <v>0.17071963847916283</v>
      </c>
      <c r="AE27" s="13">
        <v>7</v>
      </c>
      <c r="AF27" s="8">
        <f t="shared" ca="1" si="25"/>
        <v>0.43285475019629027</v>
      </c>
      <c r="AG27" s="8"/>
      <c r="AH27" s="16">
        <v>22</v>
      </c>
      <c r="AI27" s="8">
        <f t="shared" ca="1" si="26"/>
        <v>0.95799884196635643</v>
      </c>
      <c r="AJ27" s="8"/>
      <c r="AK27" s="16">
        <v>37</v>
      </c>
      <c r="AL27" s="8">
        <f t="shared" ca="1" si="27"/>
        <v>0.33734118952449743</v>
      </c>
      <c r="AM27" s="8"/>
      <c r="AN27" s="16">
        <v>52</v>
      </c>
      <c r="AO27" s="8">
        <f t="shared" ca="1" si="28"/>
        <v>0.16069789200148077</v>
      </c>
      <c r="AP27" s="8"/>
      <c r="AQ27" s="16">
        <v>67</v>
      </c>
      <c r="AR27" s="9">
        <f t="shared" ca="1" si="29"/>
        <v>0.76334723957885209</v>
      </c>
    </row>
    <row r="28" spans="1:44">
      <c r="A28" s="13">
        <v>8</v>
      </c>
      <c r="B28" s="8">
        <f t="shared" ca="1" si="15"/>
        <v>0.17820448161452396</v>
      </c>
      <c r="C28" s="8"/>
      <c r="D28" s="16">
        <v>23</v>
      </c>
      <c r="E28" s="8">
        <f t="shared" ca="1" si="16"/>
        <v>0.93953114670837068</v>
      </c>
      <c r="F28" s="8"/>
      <c r="G28" s="16">
        <v>38</v>
      </c>
      <c r="H28" s="8">
        <f t="shared" ca="1" si="17"/>
        <v>0.47817328001341131</v>
      </c>
      <c r="I28" s="8"/>
      <c r="J28" s="16">
        <v>53</v>
      </c>
      <c r="K28" s="8">
        <f t="shared" ca="1" si="18"/>
        <v>0.34011467205999324</v>
      </c>
      <c r="L28" s="8"/>
      <c r="M28" s="16">
        <v>68</v>
      </c>
      <c r="N28" s="9">
        <f t="shared" ca="1" si="19"/>
        <v>0.18791317669620211</v>
      </c>
      <c r="P28" s="13">
        <v>8</v>
      </c>
      <c r="Q28" s="8">
        <f t="shared" ca="1" si="20"/>
        <v>0.37094274623088608</v>
      </c>
      <c r="R28" s="8"/>
      <c r="S28" s="16">
        <v>23</v>
      </c>
      <c r="T28" s="8">
        <f t="shared" ca="1" si="21"/>
        <v>0.34019830011639185</v>
      </c>
      <c r="U28" s="8"/>
      <c r="V28" s="16">
        <v>38</v>
      </c>
      <c r="W28" s="8">
        <f t="shared" ca="1" si="22"/>
        <v>0.44852233929550822</v>
      </c>
      <c r="X28" s="8"/>
      <c r="Y28" s="16">
        <v>53</v>
      </c>
      <c r="Z28" s="8">
        <f t="shared" ca="1" si="23"/>
        <v>0.22105657621232011</v>
      </c>
      <c r="AA28" s="8"/>
      <c r="AB28" s="16">
        <v>68</v>
      </c>
      <c r="AC28" s="9">
        <f t="shared" ca="1" si="24"/>
        <v>0.33965119097695817</v>
      </c>
      <c r="AE28" s="13">
        <v>8</v>
      </c>
      <c r="AF28" s="8">
        <f t="shared" ca="1" si="25"/>
        <v>0.60658817217797756</v>
      </c>
      <c r="AG28" s="8"/>
      <c r="AH28" s="16">
        <v>23</v>
      </c>
      <c r="AI28" s="8">
        <f t="shared" ca="1" si="26"/>
        <v>1.805863620481829E-2</v>
      </c>
      <c r="AJ28" s="8"/>
      <c r="AK28" s="16">
        <v>38</v>
      </c>
      <c r="AL28" s="8">
        <f t="shared" ca="1" si="27"/>
        <v>0.26879191044166251</v>
      </c>
      <c r="AM28" s="8"/>
      <c r="AN28" s="16">
        <v>53</v>
      </c>
      <c r="AO28" s="8">
        <f t="shared" ca="1" si="28"/>
        <v>4.2107304323155681E-3</v>
      </c>
      <c r="AP28" s="8"/>
      <c r="AQ28" s="16">
        <v>68</v>
      </c>
      <c r="AR28" s="9">
        <f t="shared" ca="1" si="29"/>
        <v>0.20721459485235949</v>
      </c>
    </row>
    <row r="29" spans="1:44">
      <c r="A29" s="13">
        <v>9</v>
      </c>
      <c r="B29" s="8">
        <f t="shared" ca="1" si="15"/>
        <v>0.45846650282071777</v>
      </c>
      <c r="C29" s="8"/>
      <c r="D29" s="16">
        <v>24</v>
      </c>
      <c r="E29" s="8">
        <f t="shared" ca="1" si="16"/>
        <v>0.88564613965158911</v>
      </c>
      <c r="F29" s="8"/>
      <c r="G29" s="16">
        <v>39</v>
      </c>
      <c r="H29" s="8">
        <f t="shared" ca="1" si="17"/>
        <v>0.17279879308590962</v>
      </c>
      <c r="I29" s="8"/>
      <c r="J29" s="16">
        <v>54</v>
      </c>
      <c r="K29" s="8">
        <f t="shared" ca="1" si="18"/>
        <v>0.15239837693872638</v>
      </c>
      <c r="L29" s="8"/>
      <c r="M29" s="16">
        <v>69</v>
      </c>
      <c r="N29" s="9">
        <f t="shared" ca="1" si="19"/>
        <v>0.24307821777343075</v>
      </c>
      <c r="P29" s="13">
        <v>9</v>
      </c>
      <c r="Q29" s="8">
        <f t="shared" ca="1" si="20"/>
        <v>0.84143086679629531</v>
      </c>
      <c r="R29" s="8"/>
      <c r="S29" s="16">
        <v>24</v>
      </c>
      <c r="T29" s="8">
        <f t="shared" ca="1" si="21"/>
        <v>0.7762574460885866</v>
      </c>
      <c r="U29" s="8"/>
      <c r="V29" s="16">
        <v>39</v>
      </c>
      <c r="W29" s="8">
        <f t="shared" ca="1" si="22"/>
        <v>0.14060909884799788</v>
      </c>
      <c r="X29" s="8"/>
      <c r="Y29" s="16">
        <v>54</v>
      </c>
      <c r="Z29" s="8">
        <f t="shared" ca="1" si="23"/>
        <v>0.75031812302476708</v>
      </c>
      <c r="AA29" s="8"/>
      <c r="AB29" s="16">
        <v>69</v>
      </c>
      <c r="AC29" s="9">
        <f t="shared" ca="1" si="24"/>
        <v>0.35243261127163994</v>
      </c>
      <c r="AE29" s="13">
        <v>9</v>
      </c>
      <c r="AF29" s="8">
        <f t="shared" ca="1" si="25"/>
        <v>0.37531293055841841</v>
      </c>
      <c r="AG29" s="8"/>
      <c r="AH29" s="16">
        <v>24</v>
      </c>
      <c r="AI29" s="8">
        <f t="shared" ca="1" si="26"/>
        <v>0.36573191895290647</v>
      </c>
      <c r="AJ29" s="8"/>
      <c r="AK29" s="16">
        <v>39</v>
      </c>
      <c r="AL29" s="8">
        <f t="shared" ca="1" si="27"/>
        <v>0.70706960733742985</v>
      </c>
      <c r="AM29" s="8"/>
      <c r="AN29" s="16">
        <v>54</v>
      </c>
      <c r="AO29" s="8">
        <f t="shared" ca="1" si="28"/>
        <v>0.71711963347032581</v>
      </c>
      <c r="AP29" s="8"/>
      <c r="AQ29" s="16">
        <v>69</v>
      </c>
      <c r="AR29" s="9">
        <f t="shared" ca="1" si="29"/>
        <v>0.71972285095669886</v>
      </c>
    </row>
    <row r="30" spans="1:44">
      <c r="A30" s="13">
        <v>10</v>
      </c>
      <c r="B30" s="8">
        <f t="shared" ca="1" si="15"/>
        <v>1.5864193914820302E-2</v>
      </c>
      <c r="C30" s="8"/>
      <c r="D30" s="16">
        <v>25</v>
      </c>
      <c r="E30" s="8">
        <f t="shared" ca="1" si="16"/>
        <v>0.98003715385737378</v>
      </c>
      <c r="F30" s="8"/>
      <c r="G30" s="16">
        <v>40</v>
      </c>
      <c r="H30" s="8">
        <f t="shared" ca="1" si="17"/>
        <v>0.68435237675267202</v>
      </c>
      <c r="I30" s="8"/>
      <c r="J30" s="16">
        <v>55</v>
      </c>
      <c r="K30" s="8">
        <f t="shared" ca="1" si="18"/>
        <v>0.15875866039811848</v>
      </c>
      <c r="L30" s="8"/>
      <c r="M30" s="16">
        <v>70</v>
      </c>
      <c r="N30" s="9">
        <f t="shared" ca="1" si="19"/>
        <v>0.33407856302999794</v>
      </c>
      <c r="P30" s="13">
        <v>10</v>
      </c>
      <c r="Q30" s="8">
        <f t="shared" ca="1" si="20"/>
        <v>0.73635455656863191</v>
      </c>
      <c r="R30" s="8"/>
      <c r="S30" s="16">
        <v>25</v>
      </c>
      <c r="T30" s="8">
        <f t="shared" ca="1" si="21"/>
        <v>0.47921234905413934</v>
      </c>
      <c r="U30" s="8"/>
      <c r="V30" s="16">
        <v>40</v>
      </c>
      <c r="W30" s="8">
        <f t="shared" ca="1" si="22"/>
        <v>0.14666039188998137</v>
      </c>
      <c r="X30" s="8"/>
      <c r="Y30" s="16">
        <v>55</v>
      </c>
      <c r="Z30" s="8">
        <f t="shared" ca="1" si="23"/>
        <v>0.69322448227412048</v>
      </c>
      <c r="AA30" s="8"/>
      <c r="AB30" s="16">
        <v>70</v>
      </c>
      <c r="AC30" s="9">
        <f t="shared" ca="1" si="24"/>
        <v>0.50464578889118139</v>
      </c>
      <c r="AE30" s="13">
        <v>10</v>
      </c>
      <c r="AF30" s="8">
        <f t="shared" ca="1" si="25"/>
        <v>0.9761196605263821</v>
      </c>
      <c r="AG30" s="8"/>
      <c r="AH30" s="16">
        <v>25</v>
      </c>
      <c r="AI30" s="8">
        <f t="shared" ca="1" si="26"/>
        <v>0.49639360336965233</v>
      </c>
      <c r="AJ30" s="8"/>
      <c r="AK30" s="16">
        <v>40</v>
      </c>
      <c r="AL30" s="8">
        <f t="shared" ca="1" si="27"/>
        <v>0.92279391931190236</v>
      </c>
      <c r="AM30" s="8"/>
      <c r="AN30" s="16">
        <v>55</v>
      </c>
      <c r="AO30" s="8">
        <f t="shared" ca="1" si="28"/>
        <v>0.1211211769068492</v>
      </c>
      <c r="AP30" s="8"/>
      <c r="AQ30" s="16">
        <v>70</v>
      </c>
      <c r="AR30" s="9">
        <f t="shared" ca="1" si="29"/>
        <v>2.6323487855473893E-2</v>
      </c>
    </row>
    <row r="31" spans="1:44">
      <c r="A31" s="13">
        <v>11</v>
      </c>
      <c r="B31" s="8">
        <f t="shared" ca="1" si="15"/>
        <v>0.9024301391358861</v>
      </c>
      <c r="C31" s="8"/>
      <c r="D31" s="16">
        <v>26</v>
      </c>
      <c r="E31" s="8">
        <f t="shared" ca="1" si="16"/>
        <v>0.1693697180345789</v>
      </c>
      <c r="F31" s="8"/>
      <c r="G31" s="16">
        <v>41</v>
      </c>
      <c r="H31" s="8">
        <f t="shared" ca="1" si="17"/>
        <v>0.90092225898332967</v>
      </c>
      <c r="I31" s="8"/>
      <c r="J31" s="16">
        <v>56</v>
      </c>
      <c r="K31" s="8">
        <f t="shared" ca="1" si="18"/>
        <v>0.33974329090129141</v>
      </c>
      <c r="L31" s="8"/>
      <c r="M31" s="16">
        <v>71</v>
      </c>
      <c r="N31" s="9">
        <f t="shared" ca="1" si="19"/>
        <v>0.58011498052549282</v>
      </c>
      <c r="P31" s="13">
        <v>11</v>
      </c>
      <c r="Q31" s="8">
        <f t="shared" ca="1" si="20"/>
        <v>0.99957003163075253</v>
      </c>
      <c r="R31" s="8"/>
      <c r="S31" s="16">
        <v>26</v>
      </c>
      <c r="T31" s="8">
        <f t="shared" ca="1" si="21"/>
        <v>0.59054332236494578</v>
      </c>
      <c r="U31" s="8"/>
      <c r="V31" s="16">
        <v>41</v>
      </c>
      <c r="W31" s="8">
        <f t="shared" ca="1" si="22"/>
        <v>0.9939723606916181</v>
      </c>
      <c r="X31" s="8"/>
      <c r="Y31" s="16">
        <v>56</v>
      </c>
      <c r="Z31" s="8">
        <f t="shared" ca="1" si="23"/>
        <v>0.63667584620987561</v>
      </c>
      <c r="AA31" s="8"/>
      <c r="AB31" s="16">
        <v>71</v>
      </c>
      <c r="AC31" s="9">
        <f t="shared" ca="1" si="24"/>
        <v>0.5715948978491453</v>
      </c>
      <c r="AE31" s="13">
        <v>11</v>
      </c>
      <c r="AF31" s="8">
        <f t="shared" ca="1" si="25"/>
        <v>0.3028566109703229</v>
      </c>
      <c r="AG31" s="8"/>
      <c r="AH31" s="16">
        <v>26</v>
      </c>
      <c r="AI31" s="8">
        <f t="shared" ca="1" si="26"/>
        <v>0.94791805733089407</v>
      </c>
      <c r="AJ31" s="8"/>
      <c r="AK31" s="16">
        <v>41</v>
      </c>
      <c r="AL31" s="8">
        <f t="shared" ca="1" si="27"/>
        <v>0.88624386930386445</v>
      </c>
      <c r="AM31" s="8"/>
      <c r="AN31" s="16">
        <v>56</v>
      </c>
      <c r="AO31" s="8">
        <f t="shared" ca="1" si="28"/>
        <v>0.59934858565394888</v>
      </c>
      <c r="AP31" s="8"/>
      <c r="AQ31" s="16">
        <v>71</v>
      </c>
      <c r="AR31" s="9">
        <f t="shared" ca="1" si="29"/>
        <v>0.43332954502786125</v>
      </c>
    </row>
    <row r="32" spans="1:44">
      <c r="A32" s="13">
        <v>12</v>
      </c>
      <c r="B32" s="8">
        <f t="shared" ca="1" si="15"/>
        <v>0.56040805273831074</v>
      </c>
      <c r="C32" s="8"/>
      <c r="D32" s="16">
        <v>27</v>
      </c>
      <c r="E32" s="8">
        <f t="shared" ca="1" si="16"/>
        <v>0.36321583641968036</v>
      </c>
      <c r="F32" s="8"/>
      <c r="G32" s="16">
        <v>42</v>
      </c>
      <c r="H32" s="8">
        <f t="shared" ca="1" si="17"/>
        <v>0.82415455173412389</v>
      </c>
      <c r="I32" s="8"/>
      <c r="J32" s="16">
        <v>57</v>
      </c>
      <c r="K32" s="8">
        <f t="shared" ca="1" si="18"/>
        <v>0.20247137041628838</v>
      </c>
      <c r="L32" s="8"/>
      <c r="M32" s="16">
        <v>72</v>
      </c>
      <c r="N32" s="9">
        <f t="shared" ca="1" si="19"/>
        <v>0.69981326989374515</v>
      </c>
      <c r="P32" s="13">
        <v>12</v>
      </c>
      <c r="Q32" s="8">
        <f t="shared" ca="1" si="20"/>
        <v>0.33476980296844905</v>
      </c>
      <c r="R32" s="8"/>
      <c r="S32" s="16">
        <v>27</v>
      </c>
      <c r="T32" s="8">
        <f t="shared" ca="1" si="21"/>
        <v>0.88234306945976226</v>
      </c>
      <c r="U32" s="8"/>
      <c r="V32" s="16">
        <v>42</v>
      </c>
      <c r="W32" s="8">
        <f t="shared" ca="1" si="22"/>
        <v>0.82653998238626469</v>
      </c>
      <c r="X32" s="8"/>
      <c r="Y32" s="16">
        <v>57</v>
      </c>
      <c r="Z32" s="8">
        <f t="shared" ca="1" si="23"/>
        <v>0.185078325756448</v>
      </c>
      <c r="AA32" s="8"/>
      <c r="AB32" s="16">
        <v>72</v>
      </c>
      <c r="AC32" s="9">
        <f t="shared" ca="1" si="24"/>
        <v>0.42981741888054981</v>
      </c>
      <c r="AE32" s="13">
        <v>12</v>
      </c>
      <c r="AF32" s="8">
        <f t="shared" ca="1" si="25"/>
        <v>0.60641266222623857</v>
      </c>
      <c r="AG32" s="8"/>
      <c r="AH32" s="16">
        <v>27</v>
      </c>
      <c r="AI32" s="8">
        <f t="shared" ca="1" si="26"/>
        <v>0.60473282043295384</v>
      </c>
      <c r="AJ32" s="8"/>
      <c r="AK32" s="16">
        <v>42</v>
      </c>
      <c r="AL32" s="8">
        <f t="shared" ca="1" si="27"/>
        <v>0.39551673234291695</v>
      </c>
      <c r="AM32" s="8"/>
      <c r="AN32" s="16">
        <v>57</v>
      </c>
      <c r="AO32" s="8">
        <f t="shared" ca="1" si="28"/>
        <v>2.1070685467761141E-2</v>
      </c>
      <c r="AP32" s="8"/>
      <c r="AQ32" s="16">
        <v>72</v>
      </c>
      <c r="AR32" s="9">
        <f t="shared" ca="1" si="29"/>
        <v>0.45535994407102665</v>
      </c>
    </row>
    <row r="33" spans="1:44">
      <c r="A33" s="13">
        <v>13</v>
      </c>
      <c r="B33" s="8">
        <f t="shared" ca="1" si="15"/>
        <v>0.10178162261491064</v>
      </c>
      <c r="C33" s="8"/>
      <c r="D33" s="16">
        <v>28</v>
      </c>
      <c r="E33" s="8">
        <f t="shared" ca="1" si="16"/>
        <v>0.47023987569767178</v>
      </c>
      <c r="F33" s="8"/>
      <c r="G33" s="16">
        <v>43</v>
      </c>
      <c r="H33" s="8">
        <f t="shared" ca="1" si="17"/>
        <v>0.54308774675886939</v>
      </c>
      <c r="I33" s="8"/>
      <c r="J33" s="16">
        <v>58</v>
      </c>
      <c r="K33" s="8">
        <f t="shared" ca="1" si="18"/>
        <v>0.1591258978417085</v>
      </c>
      <c r="L33" s="8"/>
      <c r="M33" s="16">
        <v>73</v>
      </c>
      <c r="N33" s="9">
        <f t="shared" ca="1" si="19"/>
        <v>0.13178543848427882</v>
      </c>
      <c r="P33" s="13">
        <v>13</v>
      </c>
      <c r="Q33" s="8">
        <f t="shared" ca="1" si="20"/>
        <v>0.53040661085175889</v>
      </c>
      <c r="R33" s="8"/>
      <c r="S33" s="16">
        <v>28</v>
      </c>
      <c r="T33" s="8">
        <f t="shared" ca="1" si="21"/>
        <v>0.8315795106589301</v>
      </c>
      <c r="U33" s="8"/>
      <c r="V33" s="16">
        <v>43</v>
      </c>
      <c r="W33" s="8">
        <f t="shared" ca="1" si="22"/>
        <v>0.208204346511351</v>
      </c>
      <c r="X33" s="8"/>
      <c r="Y33" s="16">
        <v>58</v>
      </c>
      <c r="Z33" s="8">
        <f t="shared" ca="1" si="23"/>
        <v>0.14203243677405475</v>
      </c>
      <c r="AA33" s="8"/>
      <c r="AB33" s="16">
        <v>73</v>
      </c>
      <c r="AC33" s="9">
        <f t="shared" ca="1" si="24"/>
        <v>0.53117631090379991</v>
      </c>
      <c r="AE33" s="13">
        <v>13</v>
      </c>
      <c r="AF33" s="8">
        <f t="shared" ca="1" si="25"/>
        <v>0.61393911138871349</v>
      </c>
      <c r="AG33" s="8"/>
      <c r="AH33" s="16">
        <v>28</v>
      </c>
      <c r="AI33" s="8">
        <f t="shared" ca="1" si="26"/>
        <v>0.51445122890829087</v>
      </c>
      <c r="AJ33" s="8"/>
      <c r="AK33" s="16">
        <v>43</v>
      </c>
      <c r="AL33" s="8">
        <f t="shared" ca="1" si="27"/>
        <v>9.5041415297826726E-2</v>
      </c>
      <c r="AM33" s="8"/>
      <c r="AN33" s="16">
        <v>58</v>
      </c>
      <c r="AO33" s="8">
        <f t="shared" ca="1" si="28"/>
        <v>5.3072457658349559E-2</v>
      </c>
      <c r="AP33" s="8"/>
      <c r="AQ33" s="16">
        <v>73</v>
      </c>
      <c r="AR33" s="9">
        <f t="shared" ca="1" si="29"/>
        <v>0.18885595191944593</v>
      </c>
    </row>
    <row r="34" spans="1:44">
      <c r="A34" s="13">
        <v>14</v>
      </c>
      <c r="B34" s="8">
        <f t="shared" ca="1" si="15"/>
        <v>0.85582827098094016</v>
      </c>
      <c r="C34" s="8"/>
      <c r="D34" s="16">
        <v>29</v>
      </c>
      <c r="E34" s="8">
        <f t="shared" ca="1" si="16"/>
        <v>0.97332879191170285</v>
      </c>
      <c r="F34" s="8"/>
      <c r="G34" s="16">
        <v>44</v>
      </c>
      <c r="H34" s="8">
        <f t="shared" ca="1" si="17"/>
        <v>0.46310027337152593</v>
      </c>
      <c r="I34" s="8"/>
      <c r="J34" s="16">
        <v>59</v>
      </c>
      <c r="K34" s="8">
        <f t="shared" ca="1" si="18"/>
        <v>0.10548201083115272</v>
      </c>
      <c r="L34" s="8"/>
      <c r="M34" s="16">
        <v>74</v>
      </c>
      <c r="N34" s="9">
        <f t="shared" ca="1" si="19"/>
        <v>0.96823437165602522</v>
      </c>
      <c r="P34" s="13">
        <v>14</v>
      </c>
      <c r="Q34" s="8">
        <f t="shared" ca="1" si="20"/>
        <v>0.85448937007057302</v>
      </c>
      <c r="R34" s="8"/>
      <c r="S34" s="16">
        <v>29</v>
      </c>
      <c r="T34" s="8">
        <f t="shared" ca="1" si="21"/>
        <v>0.98742069876602845</v>
      </c>
      <c r="U34" s="8"/>
      <c r="V34" s="16">
        <v>44</v>
      </c>
      <c r="W34" s="8">
        <f t="shared" ca="1" si="22"/>
        <v>0.66536605153867878</v>
      </c>
      <c r="X34" s="8"/>
      <c r="Y34" s="16">
        <v>59</v>
      </c>
      <c r="Z34" s="8">
        <f t="shared" ca="1" si="23"/>
        <v>0.52395527586973767</v>
      </c>
      <c r="AA34" s="8"/>
      <c r="AB34" s="16">
        <v>74</v>
      </c>
      <c r="AC34" s="9">
        <f t="shared" ca="1" si="24"/>
        <v>0.43949115255142812</v>
      </c>
      <c r="AE34" s="13">
        <v>14</v>
      </c>
      <c r="AF34" s="8">
        <f t="shared" ca="1" si="25"/>
        <v>0.86380830847902068</v>
      </c>
      <c r="AG34" s="8"/>
      <c r="AH34" s="16">
        <v>29</v>
      </c>
      <c r="AI34" s="8">
        <f t="shared" ca="1" si="26"/>
        <v>0.63795993994326583</v>
      </c>
      <c r="AJ34" s="8"/>
      <c r="AK34" s="16">
        <v>44</v>
      </c>
      <c r="AL34" s="8">
        <f t="shared" ca="1" si="27"/>
        <v>0.90110488433554026</v>
      </c>
      <c r="AM34" s="8"/>
      <c r="AN34" s="16">
        <v>59</v>
      </c>
      <c r="AO34" s="8">
        <f t="shared" ca="1" si="28"/>
        <v>0.61539449874914431</v>
      </c>
      <c r="AP34" s="8"/>
      <c r="AQ34" s="16">
        <v>74</v>
      </c>
      <c r="AR34" s="9">
        <f t="shared" ca="1" si="29"/>
        <v>0.14009137855228859</v>
      </c>
    </row>
    <row r="35" spans="1:44" ht="17.25" thickBot="1">
      <c r="A35" s="14">
        <v>15</v>
      </c>
      <c r="B35" s="10">
        <f t="shared" ca="1" si="15"/>
        <v>0.49953727399108949</v>
      </c>
      <c r="C35" s="10"/>
      <c r="D35" s="17">
        <v>30</v>
      </c>
      <c r="E35" s="10">
        <f t="shared" ca="1" si="16"/>
        <v>0.54002834304356939</v>
      </c>
      <c r="F35" s="10"/>
      <c r="G35" s="17">
        <v>45</v>
      </c>
      <c r="H35" s="10">
        <f t="shared" ca="1" si="17"/>
        <v>0.83221011076163498</v>
      </c>
      <c r="I35" s="10"/>
      <c r="J35" s="17">
        <v>60</v>
      </c>
      <c r="K35" s="10">
        <f t="shared" ca="1" si="18"/>
        <v>0.31266277763041717</v>
      </c>
      <c r="L35" s="10"/>
      <c r="M35" s="17">
        <v>75</v>
      </c>
      <c r="N35" s="11">
        <f t="shared" ca="1" si="19"/>
        <v>0.71340727605063414</v>
      </c>
      <c r="P35" s="14">
        <v>15</v>
      </c>
      <c r="Q35" s="10">
        <f t="shared" ca="1" si="20"/>
        <v>0.61937382650606143</v>
      </c>
      <c r="R35" s="10"/>
      <c r="S35" s="17">
        <v>30</v>
      </c>
      <c r="T35" s="10">
        <f t="shared" ca="1" si="21"/>
        <v>0.46593138577828863</v>
      </c>
      <c r="U35" s="10"/>
      <c r="V35" s="17">
        <v>45</v>
      </c>
      <c r="W35" s="10">
        <f t="shared" ca="1" si="22"/>
        <v>0.99417640686864128</v>
      </c>
      <c r="X35" s="10"/>
      <c r="Y35" s="17">
        <v>60</v>
      </c>
      <c r="Z35" s="10">
        <f t="shared" ca="1" si="23"/>
        <v>0.98820594555972174</v>
      </c>
      <c r="AA35" s="10"/>
      <c r="AB35" s="17">
        <v>75</v>
      </c>
      <c r="AC35" s="11">
        <f t="shared" ca="1" si="24"/>
        <v>2.4462103202035679E-2</v>
      </c>
      <c r="AE35" s="14">
        <v>15</v>
      </c>
      <c r="AF35" s="10">
        <f t="shared" ca="1" si="25"/>
        <v>0.88726530281122695</v>
      </c>
      <c r="AG35" s="10"/>
      <c r="AH35" s="17">
        <v>30</v>
      </c>
      <c r="AI35" s="10">
        <f t="shared" ca="1" si="26"/>
        <v>0.26286901370330551</v>
      </c>
      <c r="AJ35" s="10"/>
      <c r="AK35" s="17">
        <v>45</v>
      </c>
      <c r="AL35" s="10">
        <f t="shared" ca="1" si="27"/>
        <v>0.84091683260449201</v>
      </c>
      <c r="AM35" s="10"/>
      <c r="AN35" s="17">
        <v>60</v>
      </c>
      <c r="AO35" s="10">
        <f t="shared" ca="1" si="28"/>
        <v>0.25291233458600393</v>
      </c>
      <c r="AP35" s="10"/>
      <c r="AQ35" s="17">
        <v>75</v>
      </c>
      <c r="AR35" s="11">
        <f t="shared" ca="1" si="29"/>
        <v>0.94728021396061002</v>
      </c>
    </row>
  </sheetData>
  <phoneticPr fontId="2" type="noConversion"/>
  <pageMargins left="0.75" right="0.75" top="1" bottom="1" header="0.5" footer="0.5"/>
  <pageSetup orientation="portrait" r:id="rId1"/>
  <headerFooter alignWithMargins="0">
    <oddFooter>&amp;Lwww.contextures.com&amp;RContextures Inc., Copyright © 2009.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1"/>
  <sheetViews>
    <sheetView tabSelected="1" zoomScaleNormal="100" zoomScaleSheetLayoutView="70" workbookViewId="0">
      <selection activeCell="P8" sqref="P8"/>
    </sheetView>
  </sheetViews>
  <sheetFormatPr defaultRowHeight="33.75"/>
  <cols>
    <col min="1" max="1" width="4.140625" customWidth="1"/>
    <col min="2" max="6" width="8.7109375" style="5" customWidth="1"/>
    <col min="7" max="7" width="3.140625" customWidth="1"/>
    <col min="8" max="12" width="8.7109375" style="5" customWidth="1"/>
    <col min="13" max="13" width="4.140625" customWidth="1"/>
  </cols>
  <sheetData>
    <row r="1" spans="1:15" ht="28.5" customHeight="1">
      <c r="A1" s="3"/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8"/>
      <c r="H1" s="27" t="s">
        <v>0</v>
      </c>
      <c r="I1" s="27" t="s">
        <v>1</v>
      </c>
      <c r="J1" s="27" t="s">
        <v>2</v>
      </c>
      <c r="K1" s="27" t="s">
        <v>3</v>
      </c>
      <c r="L1" s="27" t="s">
        <v>4</v>
      </c>
      <c r="M1" s="3"/>
      <c r="N1" s="5" t="str">
        <f ca="1">MID(CELL("filename",A1),FIND("]",CELL("filename",A1))+1,255)</f>
        <v>0</v>
      </c>
      <c r="O1" s="3"/>
    </row>
    <row r="2" spans="1:15" ht="28.5" customHeight="1">
      <c r="A2" s="4"/>
      <c r="B2" s="29">
        <v>8</v>
      </c>
      <c r="C2" s="29">
        <v>29</v>
      </c>
      <c r="D2" s="29">
        <v>37</v>
      </c>
      <c r="E2" s="29">
        <v>46</v>
      </c>
      <c r="F2" s="29">
        <v>66</v>
      </c>
      <c r="G2" s="29"/>
      <c r="H2" s="29">
        <v>6</v>
      </c>
      <c r="I2" s="29">
        <v>26</v>
      </c>
      <c r="J2" s="29">
        <v>45</v>
      </c>
      <c r="K2" s="29">
        <v>54</v>
      </c>
      <c r="L2" s="29">
        <v>63</v>
      </c>
      <c r="M2" s="4"/>
      <c r="O2" s="4"/>
    </row>
    <row r="3" spans="1:15" ht="28.5" customHeight="1">
      <c r="A3" s="4"/>
      <c r="B3" s="29">
        <v>6</v>
      </c>
      <c r="C3" s="29">
        <v>23</v>
      </c>
      <c r="D3" s="29">
        <v>45</v>
      </c>
      <c r="E3" s="29">
        <v>60</v>
      </c>
      <c r="F3" s="29">
        <v>71</v>
      </c>
      <c r="G3" s="29"/>
      <c r="H3" s="29">
        <v>1</v>
      </c>
      <c r="I3" s="29">
        <v>22</v>
      </c>
      <c r="J3" s="29">
        <v>45</v>
      </c>
      <c r="K3" s="29">
        <v>47</v>
      </c>
      <c r="L3" s="29">
        <v>74</v>
      </c>
      <c r="M3" s="4"/>
      <c r="O3" s="4"/>
    </row>
    <row r="4" spans="1:15" ht="28.5" customHeight="1">
      <c r="A4" s="4"/>
      <c r="B4" s="29">
        <v>5</v>
      </c>
      <c r="C4" s="29">
        <v>26</v>
      </c>
      <c r="D4" s="29" t="s">
        <v>44</v>
      </c>
      <c r="E4" s="29">
        <v>56</v>
      </c>
      <c r="F4" s="29">
        <v>73</v>
      </c>
      <c r="G4" s="29"/>
      <c r="H4" s="29">
        <v>5</v>
      </c>
      <c r="I4" s="29">
        <v>28</v>
      </c>
      <c r="J4" s="29" t="s">
        <v>44</v>
      </c>
      <c r="K4" s="29">
        <v>50</v>
      </c>
      <c r="L4" s="29">
        <v>72</v>
      </c>
      <c r="M4" s="4"/>
      <c r="O4" s="4"/>
    </row>
    <row r="5" spans="1:15" ht="28.5" customHeight="1">
      <c r="A5" s="4"/>
      <c r="B5" s="29">
        <v>1</v>
      </c>
      <c r="C5" s="29">
        <v>21</v>
      </c>
      <c r="D5" s="29">
        <v>33</v>
      </c>
      <c r="E5" s="29">
        <v>57</v>
      </c>
      <c r="F5" s="29">
        <v>69</v>
      </c>
      <c r="G5" s="29"/>
      <c r="H5" s="29">
        <v>10</v>
      </c>
      <c r="I5" s="29">
        <v>20</v>
      </c>
      <c r="J5" s="29">
        <v>34</v>
      </c>
      <c r="K5" s="29">
        <v>60</v>
      </c>
      <c r="L5" s="29">
        <v>69</v>
      </c>
      <c r="M5" s="4"/>
      <c r="O5" s="4"/>
    </row>
    <row r="6" spans="1:15" ht="28.5" customHeight="1">
      <c r="A6" s="4"/>
      <c r="B6" s="29">
        <v>3</v>
      </c>
      <c r="C6" s="29">
        <v>18</v>
      </c>
      <c r="D6" s="29">
        <v>39</v>
      </c>
      <c r="E6" s="29">
        <v>51</v>
      </c>
      <c r="F6" s="29">
        <v>65</v>
      </c>
      <c r="G6" s="29"/>
      <c r="H6" s="29">
        <v>4</v>
      </c>
      <c r="I6" s="29">
        <v>21</v>
      </c>
      <c r="J6" s="29">
        <v>32</v>
      </c>
      <c r="K6" s="29">
        <v>51</v>
      </c>
      <c r="L6" s="29">
        <v>61</v>
      </c>
      <c r="M6" s="4"/>
      <c r="O6" s="4"/>
    </row>
    <row r="7" spans="1:15" ht="28.5" customHeight="1"/>
    <row r="8" spans="1:15" ht="28.5" customHeight="1">
      <c r="A8" s="1"/>
      <c r="B8" s="27" t="s">
        <v>0</v>
      </c>
      <c r="C8" s="27" t="s">
        <v>1</v>
      </c>
      <c r="D8" s="27" t="s">
        <v>2</v>
      </c>
      <c r="E8" s="27" t="s">
        <v>3</v>
      </c>
      <c r="F8" s="27" t="s">
        <v>4</v>
      </c>
      <c r="G8" s="28"/>
      <c r="H8" s="27" t="s">
        <v>0</v>
      </c>
      <c r="I8" s="27" t="s">
        <v>1</v>
      </c>
      <c r="J8" s="27" t="s">
        <v>2</v>
      </c>
      <c r="K8" s="27" t="s">
        <v>3</v>
      </c>
      <c r="L8" s="27" t="s">
        <v>4</v>
      </c>
      <c r="M8" s="1"/>
      <c r="O8" s="1"/>
    </row>
    <row r="9" spans="1:15" ht="28.5" customHeight="1">
      <c r="A9" s="1"/>
      <c r="B9" s="29">
        <v>12</v>
      </c>
      <c r="C9" s="29">
        <v>24</v>
      </c>
      <c r="D9" s="29">
        <v>37</v>
      </c>
      <c r="E9" s="29">
        <v>52</v>
      </c>
      <c r="F9" s="29">
        <v>64</v>
      </c>
      <c r="G9" s="29"/>
      <c r="H9" s="29">
        <v>14</v>
      </c>
      <c r="I9" s="29">
        <v>24</v>
      </c>
      <c r="J9" s="29">
        <v>42</v>
      </c>
      <c r="K9" s="29">
        <v>56</v>
      </c>
      <c r="L9" s="29">
        <v>71</v>
      </c>
      <c r="M9" s="1"/>
      <c r="O9" s="1"/>
    </row>
    <row r="10" spans="1:15" ht="28.5" customHeight="1">
      <c r="A10" s="1"/>
      <c r="B10" s="29">
        <v>2</v>
      </c>
      <c r="C10" s="29">
        <v>28</v>
      </c>
      <c r="D10" s="29">
        <v>40</v>
      </c>
      <c r="E10" s="29">
        <v>59</v>
      </c>
      <c r="F10" s="29">
        <v>73</v>
      </c>
      <c r="G10" s="29"/>
      <c r="H10" s="29">
        <v>6</v>
      </c>
      <c r="I10" s="29">
        <v>28</v>
      </c>
      <c r="J10" s="29">
        <v>35</v>
      </c>
      <c r="K10" s="29">
        <v>51</v>
      </c>
      <c r="L10" s="29">
        <v>67</v>
      </c>
      <c r="M10" s="1"/>
      <c r="O10" s="1"/>
    </row>
    <row r="11" spans="1:15" ht="28.5" customHeight="1">
      <c r="A11" s="1"/>
      <c r="B11" s="29">
        <v>9</v>
      </c>
      <c r="C11" s="29">
        <v>25</v>
      </c>
      <c r="D11" s="29" t="s">
        <v>44</v>
      </c>
      <c r="E11" s="29">
        <v>48</v>
      </c>
      <c r="F11" s="29">
        <v>71</v>
      </c>
      <c r="G11" s="29"/>
      <c r="H11" s="29">
        <v>11</v>
      </c>
      <c r="I11" s="29">
        <v>19</v>
      </c>
      <c r="J11" s="29" t="s">
        <v>44</v>
      </c>
      <c r="K11" s="29">
        <v>47</v>
      </c>
      <c r="L11" s="29">
        <v>75</v>
      </c>
      <c r="M11" s="1"/>
      <c r="O11" s="1"/>
    </row>
    <row r="12" spans="1:15" ht="28.5" customHeight="1">
      <c r="A12" s="1"/>
      <c r="B12" s="29">
        <v>3</v>
      </c>
      <c r="C12" s="29">
        <v>22</v>
      </c>
      <c r="D12" s="29">
        <v>39</v>
      </c>
      <c r="E12" s="29">
        <v>50</v>
      </c>
      <c r="F12" s="29">
        <v>62</v>
      </c>
      <c r="G12" s="29"/>
      <c r="H12" s="29">
        <v>1</v>
      </c>
      <c r="I12" s="29">
        <v>27</v>
      </c>
      <c r="J12" s="29">
        <v>36</v>
      </c>
      <c r="K12" s="29">
        <v>52</v>
      </c>
      <c r="L12" s="29">
        <v>63</v>
      </c>
      <c r="M12" s="1"/>
      <c r="O12" s="1"/>
    </row>
    <row r="13" spans="1:15" ht="28.5" customHeight="1">
      <c r="A13" s="1"/>
      <c r="B13" s="29">
        <v>13</v>
      </c>
      <c r="C13" s="29">
        <v>17</v>
      </c>
      <c r="D13" s="29">
        <v>31</v>
      </c>
      <c r="E13" s="29">
        <v>55</v>
      </c>
      <c r="F13" s="29">
        <v>70</v>
      </c>
      <c r="G13" s="29"/>
      <c r="H13" s="29">
        <v>12</v>
      </c>
      <c r="I13" s="29">
        <v>25</v>
      </c>
      <c r="J13" s="29">
        <v>39</v>
      </c>
      <c r="K13" s="29">
        <v>55</v>
      </c>
      <c r="L13" s="29">
        <v>65</v>
      </c>
      <c r="M13" s="1"/>
      <c r="O13" s="1"/>
    </row>
    <row r="14" spans="1:15" ht="28.5" customHeight="1"/>
    <row r="15" spans="1:15" ht="28.5" customHeight="1">
      <c r="A15" s="1"/>
      <c r="B15" s="27" t="s">
        <v>0</v>
      </c>
      <c r="C15" s="27" t="s">
        <v>1</v>
      </c>
      <c r="D15" s="27" t="s">
        <v>2</v>
      </c>
      <c r="E15" s="27" t="s">
        <v>3</v>
      </c>
      <c r="F15" s="27" t="s">
        <v>4</v>
      </c>
      <c r="G15" s="28"/>
      <c r="H15" s="27" t="s">
        <v>0</v>
      </c>
      <c r="I15" s="27" t="s">
        <v>1</v>
      </c>
      <c r="J15" s="27" t="s">
        <v>2</v>
      </c>
      <c r="K15" s="27" t="s">
        <v>3</v>
      </c>
      <c r="L15" s="27" t="s">
        <v>4</v>
      </c>
      <c r="M15" s="1"/>
      <c r="O15" s="1"/>
    </row>
    <row r="16" spans="1:15" ht="28.5" customHeight="1">
      <c r="A16" s="1"/>
      <c r="B16" s="29">
        <v>1</v>
      </c>
      <c r="C16" s="29">
        <v>22</v>
      </c>
      <c r="D16" s="29">
        <v>32</v>
      </c>
      <c r="E16" s="29">
        <v>56</v>
      </c>
      <c r="F16" s="29">
        <v>70</v>
      </c>
      <c r="G16" s="29"/>
      <c r="H16" s="29">
        <v>1</v>
      </c>
      <c r="I16" s="29">
        <v>21</v>
      </c>
      <c r="J16" s="29">
        <v>38</v>
      </c>
      <c r="K16" s="29">
        <v>46</v>
      </c>
      <c r="L16" s="29">
        <v>61</v>
      </c>
      <c r="M16" s="1"/>
      <c r="O16" s="1"/>
    </row>
    <row r="17" spans="1:15" ht="28.5" customHeight="1">
      <c r="A17" s="1"/>
      <c r="B17" s="29">
        <v>2</v>
      </c>
      <c r="C17" s="29">
        <v>25</v>
      </c>
      <c r="D17" s="29">
        <v>41</v>
      </c>
      <c r="E17" s="29">
        <v>53</v>
      </c>
      <c r="F17" s="29">
        <v>75</v>
      </c>
      <c r="G17" s="29"/>
      <c r="H17" s="29">
        <v>11</v>
      </c>
      <c r="I17" s="29">
        <v>27</v>
      </c>
      <c r="J17" s="29">
        <v>32</v>
      </c>
      <c r="K17" s="29">
        <v>59</v>
      </c>
      <c r="L17" s="29">
        <v>74</v>
      </c>
      <c r="M17" s="1"/>
      <c r="O17" s="1"/>
    </row>
    <row r="18" spans="1:15" ht="28.5" customHeight="1">
      <c r="A18" s="1"/>
      <c r="B18" s="29">
        <v>11</v>
      </c>
      <c r="C18" s="29">
        <v>29</v>
      </c>
      <c r="D18" s="29" t="s">
        <v>44</v>
      </c>
      <c r="E18" s="29">
        <v>48</v>
      </c>
      <c r="F18" s="29">
        <v>65</v>
      </c>
      <c r="G18" s="29"/>
      <c r="H18" s="29">
        <v>8</v>
      </c>
      <c r="I18" s="29">
        <v>16</v>
      </c>
      <c r="J18" s="29" t="s">
        <v>44</v>
      </c>
      <c r="K18" s="29">
        <v>50</v>
      </c>
      <c r="L18" s="29">
        <v>75</v>
      </c>
      <c r="M18" s="1"/>
      <c r="O18" s="1"/>
    </row>
    <row r="19" spans="1:15" ht="28.5" customHeight="1">
      <c r="A19" s="1"/>
      <c r="B19" s="29">
        <v>3</v>
      </c>
      <c r="C19" s="29">
        <v>28</v>
      </c>
      <c r="D19" s="29">
        <v>40</v>
      </c>
      <c r="E19" s="29">
        <v>51</v>
      </c>
      <c r="F19" s="29">
        <v>68</v>
      </c>
      <c r="G19" s="29"/>
      <c r="H19" s="29">
        <v>14</v>
      </c>
      <c r="I19" s="29">
        <v>23</v>
      </c>
      <c r="J19" s="29">
        <v>36</v>
      </c>
      <c r="K19" s="29">
        <v>52</v>
      </c>
      <c r="L19" s="29">
        <v>68</v>
      </c>
      <c r="M19" s="1"/>
      <c r="O19" s="1"/>
    </row>
    <row r="20" spans="1:15" ht="28.5" customHeight="1">
      <c r="A20" s="1"/>
      <c r="B20" s="29">
        <v>6</v>
      </c>
      <c r="C20" s="29">
        <v>16</v>
      </c>
      <c r="D20" s="29">
        <v>38</v>
      </c>
      <c r="E20" s="29">
        <v>58</v>
      </c>
      <c r="F20" s="29">
        <v>63</v>
      </c>
      <c r="G20" s="29"/>
      <c r="H20" s="29">
        <v>10</v>
      </c>
      <c r="I20" s="29">
        <v>25</v>
      </c>
      <c r="J20" s="29">
        <v>39</v>
      </c>
      <c r="K20" s="29">
        <v>48</v>
      </c>
      <c r="L20" s="29">
        <v>73</v>
      </c>
      <c r="M20" s="1"/>
      <c r="O20" s="1"/>
    </row>
    <row r="21" spans="1:15" ht="28.5" customHeight="1"/>
  </sheetData>
  <phoneticPr fontId="12" type="noConversion"/>
  <pageMargins left="0.7" right="0.7" top="0.75" bottom="0.75" header="0.3" footer="0.3"/>
  <pageSetup paperSize="9" scale="90" orientation="portrait" r:id="rId1"/>
  <rowBreaks count="1" manualBreakCount="1">
    <brk id="21" max="1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EB576BFA-6942-4B3F-AF50-5837BDBCA88A}">
            <xm:f>HLOOKUP(B2,Cards!$O$2:$DQ$2,1,FALSE)</xm:f>
            <x14:dxf>
              <font>
                <b val="0"/>
                <i/>
                <strike val="0"/>
                <color theme="5"/>
              </font>
            </x14:dxf>
          </x14:cfRule>
          <xm:sqref>B2:L20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0"/>
  <sheetViews>
    <sheetView showGridLines="0" workbookViewId="0">
      <selection activeCell="F1" sqref="F1"/>
    </sheetView>
  </sheetViews>
  <sheetFormatPr defaultColWidth="9" defaultRowHeight="12.75"/>
  <cols>
    <col min="1" max="1" width="2.140625" style="19" customWidth="1"/>
    <col min="2" max="2" width="41" style="19" bestFit="1" customWidth="1"/>
    <col min="3" max="3" width="64" style="19" bestFit="1" customWidth="1"/>
    <col min="4" max="16384" width="9" style="19"/>
  </cols>
  <sheetData>
    <row r="1" spans="1:4" ht="15.75">
      <c r="A1" s="20"/>
      <c r="B1" s="21"/>
      <c r="C1" s="20"/>
      <c r="D1" s="20"/>
    </row>
    <row r="2" spans="1:4" ht="18.75">
      <c r="A2" s="20"/>
      <c r="B2" s="22" t="s">
        <v>18</v>
      </c>
      <c r="C2" s="20"/>
      <c r="D2" s="20"/>
    </row>
    <row r="3" spans="1:4" ht="15.75">
      <c r="A3" s="20"/>
      <c r="B3" s="23"/>
      <c r="C3" s="20"/>
      <c r="D3" s="20"/>
    </row>
    <row r="4" spans="1:4" ht="15.75">
      <c r="A4" s="20"/>
      <c r="B4" s="24" t="s">
        <v>14</v>
      </c>
      <c r="C4" s="20" t="s">
        <v>19</v>
      </c>
      <c r="D4" s="20"/>
    </row>
    <row r="5" spans="1:4" ht="15.75">
      <c r="A5" s="20"/>
      <c r="B5" s="24" t="s">
        <v>15</v>
      </c>
      <c r="C5" s="20" t="s">
        <v>20</v>
      </c>
      <c r="D5" s="20"/>
    </row>
    <row r="6" spans="1:4" ht="15.75">
      <c r="A6" s="20"/>
      <c r="B6" s="24" t="s">
        <v>21</v>
      </c>
      <c r="C6" s="20" t="s">
        <v>22</v>
      </c>
      <c r="D6" s="20"/>
    </row>
    <row r="7" spans="1:4" ht="15.75">
      <c r="A7" s="20"/>
      <c r="B7" s="24" t="s">
        <v>23</v>
      </c>
      <c r="C7" s="20" t="s">
        <v>24</v>
      </c>
      <c r="D7" s="20"/>
    </row>
    <row r="8" spans="1:4" ht="15.75">
      <c r="A8" s="20"/>
      <c r="B8" s="24" t="s">
        <v>13</v>
      </c>
      <c r="C8" s="20" t="s">
        <v>25</v>
      </c>
      <c r="D8" s="20"/>
    </row>
    <row r="9" spans="1:4" ht="15.75">
      <c r="A9" s="20"/>
      <c r="B9" s="25"/>
      <c r="C9" s="20"/>
      <c r="D9" s="20"/>
    </row>
    <row r="10" spans="1:4" ht="18.75">
      <c r="A10" s="20"/>
      <c r="B10" s="22" t="s">
        <v>8</v>
      </c>
      <c r="C10" s="20"/>
      <c r="D10" s="20"/>
    </row>
    <row r="11" spans="1:4" ht="15.75">
      <c r="A11" s="20"/>
      <c r="B11" s="25"/>
      <c r="C11" s="20"/>
      <c r="D11" s="20"/>
    </row>
    <row r="12" spans="1:4" ht="15.75">
      <c r="A12" s="20"/>
      <c r="B12" s="24" t="s">
        <v>9</v>
      </c>
      <c r="C12" s="20" t="s">
        <v>26</v>
      </c>
      <c r="D12" s="20"/>
    </row>
    <row r="13" spans="1:4" ht="15.75">
      <c r="A13" s="20"/>
      <c r="B13" s="24" t="s">
        <v>10</v>
      </c>
      <c r="C13" s="20" t="s">
        <v>27</v>
      </c>
      <c r="D13" s="20"/>
    </row>
    <row r="14" spans="1:4" ht="15.75">
      <c r="A14" s="20"/>
      <c r="B14" s="24" t="s">
        <v>28</v>
      </c>
      <c r="C14" s="20" t="s">
        <v>29</v>
      </c>
      <c r="D14" s="20"/>
    </row>
    <row r="15" spans="1:4" ht="15.75">
      <c r="A15" s="20"/>
      <c r="B15" s="24" t="s">
        <v>30</v>
      </c>
      <c r="C15" s="20" t="s">
        <v>31</v>
      </c>
      <c r="D15" s="20"/>
    </row>
    <row r="16" spans="1:4" ht="15.75">
      <c r="A16" s="20"/>
      <c r="B16" s="24" t="s">
        <v>16</v>
      </c>
      <c r="C16" s="20" t="s">
        <v>32</v>
      </c>
      <c r="D16" s="20"/>
    </row>
    <row r="17" spans="1:4" ht="15.75">
      <c r="A17" s="20"/>
      <c r="B17" s="24" t="s">
        <v>17</v>
      </c>
      <c r="C17" s="20" t="s">
        <v>33</v>
      </c>
      <c r="D17" s="20"/>
    </row>
    <row r="18" spans="1:4" ht="15.75">
      <c r="A18" s="18"/>
      <c r="B18" s="24" t="s">
        <v>11</v>
      </c>
      <c r="C18" s="20" t="s">
        <v>34</v>
      </c>
      <c r="D18" s="20"/>
    </row>
    <row r="19" spans="1:4" ht="15.75">
      <c r="A19" s="20"/>
      <c r="B19" s="26"/>
      <c r="C19" s="20"/>
      <c r="D19" s="20"/>
    </row>
    <row r="20" spans="1:4" ht="18.75">
      <c r="A20" s="20"/>
      <c r="B20" s="22" t="s">
        <v>35</v>
      </c>
      <c r="C20" s="20"/>
      <c r="D20" s="20"/>
    </row>
    <row r="21" spans="1:4" ht="15.75">
      <c r="A21" s="20"/>
      <c r="B21" s="23"/>
      <c r="C21" s="20"/>
      <c r="D21" s="20"/>
    </row>
    <row r="22" spans="1:4" ht="15.75">
      <c r="A22" s="20"/>
      <c r="B22" s="24" t="s">
        <v>36</v>
      </c>
      <c r="C22" s="20" t="s">
        <v>37</v>
      </c>
      <c r="D22" s="20"/>
    </row>
    <row r="23" spans="1:4" ht="15.75">
      <c r="A23" s="20"/>
      <c r="B23" s="24" t="s">
        <v>5</v>
      </c>
      <c r="C23" s="20" t="s">
        <v>38</v>
      </c>
      <c r="D23" s="20"/>
    </row>
    <row r="24" spans="1:4" ht="15.75">
      <c r="A24" s="20"/>
      <c r="B24" s="24" t="s">
        <v>6</v>
      </c>
      <c r="C24" s="20" t="s">
        <v>39</v>
      </c>
      <c r="D24" s="20"/>
    </row>
    <row r="25" spans="1:4" ht="15.75">
      <c r="A25" s="20"/>
      <c r="B25" s="24" t="s">
        <v>7</v>
      </c>
      <c r="C25" s="20" t="s">
        <v>40</v>
      </c>
      <c r="D25" s="20"/>
    </row>
    <row r="26" spans="1:4" ht="15.75">
      <c r="A26" s="20"/>
      <c r="B26" s="24" t="s">
        <v>12</v>
      </c>
      <c r="C26" s="20" t="s">
        <v>41</v>
      </c>
      <c r="D26" s="20"/>
    </row>
    <row r="27" spans="1:4" ht="15.75">
      <c r="A27" s="20"/>
      <c r="B27" s="21"/>
      <c r="C27" s="20"/>
      <c r="D27" s="20"/>
    </row>
    <row r="28" spans="1:4" ht="15.75">
      <c r="A28" s="20"/>
      <c r="B28" s="21"/>
      <c r="C28" s="20"/>
      <c r="D28" s="20"/>
    </row>
    <row r="29" spans="1:4" ht="15.75">
      <c r="A29" s="20"/>
      <c r="B29" s="21"/>
      <c r="C29" s="20"/>
      <c r="D29" s="20"/>
    </row>
    <row r="30" spans="1:4" ht="15.75">
      <c r="A30" s="20"/>
      <c r="B30" s="21"/>
      <c r="C30" s="20"/>
      <c r="D30" s="20"/>
    </row>
  </sheetData>
  <phoneticPr fontId="10" type="noConversion"/>
  <hyperlinks>
    <hyperlink ref="B12" r:id="rId1" tooltip="Jon Peltier's Excel Chart Utilities"/>
    <hyperlink ref="B13" r:id="rId2" tooltip="ExcelUser Dashboards"/>
    <hyperlink ref="B18" r:id="rId3" tooltip="Chandoo's Project Management Templates"/>
    <hyperlink ref="B17" r:id="rId4" tooltip="Chandoo's Excel VBA School"/>
    <hyperlink ref="B8" r:id="rId5" tooltip="30 Excel Functions in 30 Days eBook kit"/>
    <hyperlink ref="B4" r:id="rId6" tooltip="PivotPower Premium Add-in"/>
    <hyperlink ref="B5" r:id="rId7" tooltip="UserForms for Data Entry ebook Kit"/>
    <hyperlink ref="B16" r:id="rId8" tooltip="Excel Courses Online"/>
    <hyperlink ref="B6" r:id="rId9"/>
    <hyperlink ref="B23" r:id="rId10"/>
    <hyperlink ref="B25" r:id="rId11"/>
    <hyperlink ref="B24" r:id="rId12"/>
    <hyperlink ref="B26" r:id="rId13" tooltip="Debra's Pivot Table Books on Amazon"/>
    <hyperlink ref="B7" r:id="rId14"/>
    <hyperlink ref="B15" r:id="rId15"/>
    <hyperlink ref="B14" r:id="rId16" tooltip="Xtreme Pivot Table Course"/>
    <hyperlink ref="B22" r:id="rId17"/>
  </hyperlinks>
  <pageMargins left="0.75" right="0.75" top="1" bottom="1" header="0.5" footer="0.5"/>
  <pageSetup paperSize="9" orientation="portrait" r:id="rId18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Cards</vt:lpstr>
      <vt:lpstr>Numbers</vt:lpstr>
      <vt:lpstr>0</vt:lpstr>
      <vt:lpstr>MyLinks</vt:lpstr>
      <vt:lpstr>'0'!Print_Area</vt:lpstr>
      <vt:lpstr>Cards!Print_Area</vt:lpstr>
    </vt:vector>
  </TitlesOfParts>
  <Company>Contextures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Zheng Cross Jason</cp:lastModifiedBy>
  <cp:lastPrinted>2017-01-13T03:53:50Z</cp:lastPrinted>
  <dcterms:created xsi:type="dcterms:W3CDTF">2002-10-27T19:16:07Z</dcterms:created>
  <dcterms:modified xsi:type="dcterms:W3CDTF">2017-03-18T15:32:42Z</dcterms:modified>
</cp:coreProperties>
</file>