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Zheng\Desktop\gitpitch\"/>
    </mc:Choice>
  </mc:AlternateContent>
  <bookViews>
    <workbookView xWindow="1440" yWindow="4155" windowWidth="15210" windowHeight="5970" tabRatio="751"/>
  </bookViews>
  <sheets>
    <sheet name="Cards" sheetId="1" r:id="rId1"/>
    <sheet name="Numbers" sheetId="2" r:id="rId2"/>
    <sheet name="0" sheetId="17" r:id="rId3"/>
    <sheet name="1" sheetId="62" r:id="rId4"/>
    <sheet name="2" sheetId="63" r:id="rId5"/>
    <sheet name="3" sheetId="64" r:id="rId6"/>
    <sheet name="4" sheetId="65" r:id="rId7"/>
    <sheet name="5" sheetId="66" r:id="rId8"/>
    <sheet name="6" sheetId="67" r:id="rId9"/>
    <sheet name="1 (7)" sheetId="68" r:id="rId10"/>
    <sheet name="1 (8)" sheetId="69" r:id="rId11"/>
    <sheet name="1 (9)" sheetId="70" r:id="rId12"/>
    <sheet name="1 (10)" sheetId="71" r:id="rId13"/>
    <sheet name="1 (11)" sheetId="72" r:id="rId14"/>
    <sheet name="1 (12)" sheetId="73" r:id="rId15"/>
    <sheet name="1 (13)" sheetId="74" r:id="rId16"/>
    <sheet name="1 (14)" sheetId="75" r:id="rId17"/>
    <sheet name="1 (15)" sheetId="76" r:id="rId18"/>
    <sheet name="1 (16)" sheetId="77" r:id="rId19"/>
    <sheet name="1 (17)" sheetId="78" r:id="rId20"/>
    <sheet name="1 (18)" sheetId="79" r:id="rId21"/>
    <sheet name="1 (19)" sheetId="80" r:id="rId22"/>
    <sheet name="1 (20)" sheetId="81" r:id="rId23"/>
    <sheet name="1 (21)" sheetId="82" r:id="rId24"/>
    <sheet name="1 (22)" sheetId="83" r:id="rId25"/>
    <sheet name="1 (23)" sheetId="84" r:id="rId26"/>
    <sheet name="1 (24)" sheetId="85" r:id="rId27"/>
    <sheet name="1 (25)" sheetId="86" r:id="rId28"/>
    <sheet name="1 (26)" sheetId="87" r:id="rId29"/>
    <sheet name="MyLinks" sheetId="9" state="hidden" r:id="rId30"/>
  </sheets>
  <definedNames>
    <definedName name="_xlnm.Print_Area" localSheetId="2">'0'!$A$1:$N$22</definedName>
    <definedName name="_xlnm.Print_Area" localSheetId="3">'1'!$A$1:$N$22</definedName>
    <definedName name="_xlnm.Print_Area" localSheetId="12">'1 (10)'!$A$1:$N$22</definedName>
    <definedName name="_xlnm.Print_Area" localSheetId="13">'1 (11)'!$A$1:$N$22</definedName>
    <definedName name="_xlnm.Print_Area" localSheetId="14">'1 (12)'!$A$1:$N$22</definedName>
    <definedName name="_xlnm.Print_Area" localSheetId="15">'1 (13)'!$A$1:$N$22</definedName>
    <definedName name="_xlnm.Print_Area" localSheetId="16">'1 (14)'!$A$1:$N$22</definedName>
    <definedName name="_xlnm.Print_Area" localSheetId="17">'1 (15)'!$A$1:$N$22</definedName>
    <definedName name="_xlnm.Print_Area" localSheetId="18">'1 (16)'!$A$1:$N$22</definedName>
    <definedName name="_xlnm.Print_Area" localSheetId="19">'1 (17)'!$A$1:$N$22</definedName>
    <definedName name="_xlnm.Print_Area" localSheetId="20">'1 (18)'!$A$1:$N$22</definedName>
    <definedName name="_xlnm.Print_Area" localSheetId="21">'1 (19)'!$A$1:$N$22</definedName>
    <definedName name="_xlnm.Print_Area" localSheetId="22">'1 (20)'!$A$1:$N$22</definedName>
    <definedName name="_xlnm.Print_Area" localSheetId="23">'1 (21)'!$A$1:$N$22</definedName>
    <definedName name="_xlnm.Print_Area" localSheetId="24">'1 (22)'!$A$1:$N$22</definedName>
    <definedName name="_xlnm.Print_Area" localSheetId="25">'1 (23)'!$A$1:$N$22</definedName>
    <definedName name="_xlnm.Print_Area" localSheetId="26">'1 (24)'!$A$1:$N$22</definedName>
    <definedName name="_xlnm.Print_Area" localSheetId="27">'1 (25)'!$A$1:$N$22</definedName>
    <definedName name="_xlnm.Print_Area" localSheetId="28">'1 (26)'!$A$1:$N$22</definedName>
    <definedName name="_xlnm.Print_Area" localSheetId="9">'1 (7)'!$A$1:$N$22</definedName>
    <definedName name="_xlnm.Print_Area" localSheetId="10">'1 (8)'!$A$1:$N$22</definedName>
    <definedName name="_xlnm.Print_Area" localSheetId="11">'1 (9)'!$A$1:$N$22</definedName>
    <definedName name="_xlnm.Print_Area" localSheetId="4">'2'!$A$1:$N$22</definedName>
    <definedName name="_xlnm.Print_Area" localSheetId="5">'3'!$A$1:$N$22</definedName>
    <definedName name="_xlnm.Print_Area" localSheetId="6">'4'!$A$1:$N$22</definedName>
    <definedName name="_xlnm.Print_Area" localSheetId="7">'5'!$A$1:$N$22</definedName>
    <definedName name="_xlnm.Print_Area" localSheetId="8">'6'!$A$1:$N$22</definedName>
    <definedName name="_xlnm.Print_Area" localSheetId="0">Cards!$A$1:$M$21</definedName>
  </definedNames>
  <calcPr calcId="152511"/>
</workbook>
</file>

<file path=xl/calcChain.xml><?xml version="1.0" encoding="utf-8"?>
<calcChain xmlns="http://schemas.openxmlformats.org/spreadsheetml/2006/main">
  <c r="O4" i="1" l="1"/>
  <c r="AR35" i="2"/>
  <c r="AO35" i="2"/>
  <c r="AL35" i="2"/>
  <c r="AI35" i="2"/>
  <c r="AF35" i="2"/>
  <c r="AR34" i="2"/>
  <c r="AO34" i="2"/>
  <c r="AL34" i="2"/>
  <c r="AI34" i="2"/>
  <c r="AF34" i="2"/>
  <c r="AR33" i="2"/>
  <c r="AO33" i="2"/>
  <c r="AL33" i="2"/>
  <c r="AI33" i="2"/>
  <c r="AF33" i="2"/>
  <c r="AR32" i="2"/>
  <c r="AO32" i="2"/>
  <c r="AL32" i="2"/>
  <c r="AI32" i="2"/>
  <c r="AF32" i="2"/>
  <c r="AR31" i="2"/>
  <c r="AO31" i="2"/>
  <c r="AL31" i="2"/>
  <c r="AI31" i="2"/>
  <c r="AF31" i="2"/>
  <c r="AR30" i="2"/>
  <c r="AO30" i="2"/>
  <c r="AL30" i="2"/>
  <c r="AI30" i="2"/>
  <c r="AF30" i="2"/>
  <c r="AR29" i="2"/>
  <c r="AO29" i="2"/>
  <c r="AL29" i="2"/>
  <c r="AI29" i="2"/>
  <c r="AF29" i="2"/>
  <c r="AR28" i="2"/>
  <c r="AO28" i="2"/>
  <c r="AL28" i="2"/>
  <c r="AI28" i="2"/>
  <c r="AF28" i="2"/>
  <c r="AR27" i="2"/>
  <c r="AO27" i="2"/>
  <c r="AL27" i="2"/>
  <c r="AI27" i="2"/>
  <c r="AF27" i="2"/>
  <c r="AR26" i="2"/>
  <c r="AO26" i="2"/>
  <c r="AL26" i="2"/>
  <c r="AI26" i="2"/>
  <c r="AF26" i="2"/>
  <c r="AR25" i="2"/>
  <c r="AO25" i="2"/>
  <c r="AL25" i="2"/>
  <c r="AI25" i="2"/>
  <c r="AF25" i="2"/>
  <c r="AR24" i="2"/>
  <c r="AO24" i="2"/>
  <c r="AL24" i="2"/>
  <c r="AI24" i="2"/>
  <c r="AF24" i="2"/>
  <c r="AR23" i="2"/>
  <c r="AO23" i="2"/>
  <c r="AL23" i="2"/>
  <c r="AI23" i="2"/>
  <c r="AF23" i="2"/>
  <c r="AR22" i="2"/>
  <c r="AO22" i="2"/>
  <c r="AL22" i="2"/>
  <c r="AI22" i="2"/>
  <c r="AF22" i="2"/>
  <c r="AR21" i="2"/>
  <c r="AO21" i="2"/>
  <c r="AL21" i="2"/>
  <c r="AI21" i="2"/>
  <c r="AF21" i="2"/>
  <c r="AC35" i="2"/>
  <c r="Z35" i="2"/>
  <c r="W35" i="2"/>
  <c r="T35" i="2"/>
  <c r="Q35" i="2"/>
  <c r="AC34" i="2"/>
  <c r="Z34" i="2"/>
  <c r="W34" i="2"/>
  <c r="T34" i="2"/>
  <c r="Q34" i="2"/>
  <c r="AC33" i="2"/>
  <c r="Z33" i="2"/>
  <c r="W33" i="2"/>
  <c r="T33" i="2"/>
  <c r="Q33" i="2"/>
  <c r="AC32" i="2"/>
  <c r="Z32" i="2"/>
  <c r="W32" i="2"/>
  <c r="T32" i="2"/>
  <c r="Q32" i="2"/>
  <c r="AC31" i="2"/>
  <c r="Z31" i="2"/>
  <c r="W31" i="2"/>
  <c r="T31" i="2"/>
  <c r="Q31" i="2"/>
  <c r="AC30" i="2"/>
  <c r="Z30" i="2"/>
  <c r="W30" i="2"/>
  <c r="T30" i="2"/>
  <c r="Q30" i="2"/>
  <c r="AC29" i="2"/>
  <c r="Z29" i="2"/>
  <c r="W29" i="2"/>
  <c r="T29" i="2"/>
  <c r="Q29" i="2"/>
  <c r="AC28" i="2"/>
  <c r="Z28" i="2"/>
  <c r="W28" i="2"/>
  <c r="T28" i="2"/>
  <c r="Q28" i="2"/>
  <c r="AC27" i="2"/>
  <c r="Z27" i="2"/>
  <c r="W27" i="2"/>
  <c r="T27" i="2"/>
  <c r="Q27" i="2"/>
  <c r="AC26" i="2"/>
  <c r="Z26" i="2"/>
  <c r="W26" i="2"/>
  <c r="T26" i="2"/>
  <c r="Q26" i="2"/>
  <c r="AC25" i="2"/>
  <c r="Z25" i="2"/>
  <c r="W25" i="2"/>
  <c r="T25" i="2"/>
  <c r="Q25" i="2"/>
  <c r="AC24" i="2"/>
  <c r="Z24" i="2"/>
  <c r="W24" i="2"/>
  <c r="T24" i="2"/>
  <c r="Q24" i="2"/>
  <c r="AC23" i="2"/>
  <c r="Z23" i="2"/>
  <c r="W23" i="2"/>
  <c r="T23" i="2"/>
  <c r="Q23" i="2"/>
  <c r="AC22" i="2"/>
  <c r="Z22" i="2"/>
  <c r="W22" i="2"/>
  <c r="T22" i="2"/>
  <c r="Q22" i="2"/>
  <c r="AC21" i="2"/>
  <c r="Z21" i="2"/>
  <c r="W21" i="2"/>
  <c r="T21" i="2"/>
  <c r="Q21" i="2"/>
  <c r="N35" i="2"/>
  <c r="K35" i="2"/>
  <c r="H35" i="2"/>
  <c r="E35" i="2"/>
  <c r="B35" i="2"/>
  <c r="N34" i="2"/>
  <c r="K34" i="2"/>
  <c r="H34" i="2"/>
  <c r="E34" i="2"/>
  <c r="B34" i="2"/>
  <c r="N33" i="2"/>
  <c r="K33" i="2"/>
  <c r="H33" i="2"/>
  <c r="E33" i="2"/>
  <c r="B33" i="2"/>
  <c r="N32" i="2"/>
  <c r="K32" i="2"/>
  <c r="H32" i="2"/>
  <c r="E32" i="2"/>
  <c r="B32" i="2"/>
  <c r="N31" i="2"/>
  <c r="K31" i="2"/>
  <c r="H31" i="2"/>
  <c r="E31" i="2"/>
  <c r="B31" i="2"/>
  <c r="N30" i="2"/>
  <c r="K30" i="2"/>
  <c r="H30" i="2"/>
  <c r="E30" i="2"/>
  <c r="B30" i="2"/>
  <c r="N29" i="2"/>
  <c r="K29" i="2"/>
  <c r="H29" i="2"/>
  <c r="E29" i="2"/>
  <c r="B29" i="2"/>
  <c r="N28" i="2"/>
  <c r="K28" i="2"/>
  <c r="H28" i="2"/>
  <c r="E28" i="2"/>
  <c r="B28" i="2"/>
  <c r="N27" i="2"/>
  <c r="K27" i="2"/>
  <c r="H27" i="2"/>
  <c r="E27" i="2"/>
  <c r="B27" i="2"/>
  <c r="N26" i="2"/>
  <c r="K26" i="2"/>
  <c r="H26" i="2"/>
  <c r="E26" i="2"/>
  <c r="B26" i="2"/>
  <c r="N25" i="2"/>
  <c r="K25" i="2"/>
  <c r="H25" i="2"/>
  <c r="E25" i="2"/>
  <c r="B25" i="2"/>
  <c r="N24" i="2"/>
  <c r="K24" i="2"/>
  <c r="H24" i="2"/>
  <c r="E24" i="2"/>
  <c r="B24" i="2"/>
  <c r="N23" i="2"/>
  <c r="K23" i="2"/>
  <c r="H23" i="2"/>
  <c r="E23" i="2"/>
  <c r="B23" i="2"/>
  <c r="N22" i="2"/>
  <c r="K22" i="2"/>
  <c r="H22" i="2"/>
  <c r="E22" i="2"/>
  <c r="B22" i="2"/>
  <c r="N21" i="2"/>
  <c r="K21" i="2"/>
  <c r="H21" i="2"/>
  <c r="E21" i="2"/>
  <c r="B21" i="2"/>
  <c r="N1" i="87" l="1"/>
  <c r="N1" i="86"/>
  <c r="N1" i="85"/>
  <c r="N1" i="84"/>
  <c r="N1" i="83"/>
  <c r="N1" i="82" l="1"/>
  <c r="N1" i="81"/>
  <c r="N1" i="80"/>
  <c r="N1" i="79"/>
  <c r="N1" i="78"/>
  <c r="N1" i="77"/>
  <c r="N1" i="76"/>
  <c r="N1" i="75"/>
  <c r="N1" i="74"/>
  <c r="N1" i="73"/>
  <c r="N1" i="72"/>
  <c r="N1" i="71"/>
  <c r="N1" i="70"/>
  <c r="N1" i="69"/>
  <c r="N1" i="68"/>
  <c r="N1" i="67"/>
  <c r="N1" i="66" l="1"/>
  <c r="N1" i="65"/>
  <c r="N1" i="64"/>
  <c r="N1" i="63"/>
  <c r="N1" i="62"/>
  <c r="N1" i="17"/>
  <c r="N1" i="1"/>
  <c r="AR15" i="2" l="1"/>
  <c r="AO15" i="2"/>
  <c r="AL15" i="2"/>
  <c r="AI15" i="2"/>
  <c r="AF15" i="2"/>
  <c r="AR14" i="2"/>
  <c r="AO14" i="2"/>
  <c r="AL14" i="2"/>
  <c r="AI14" i="2"/>
  <c r="AF14" i="2"/>
  <c r="AR13" i="2"/>
  <c r="AO13" i="2"/>
  <c r="AL13" i="2"/>
  <c r="AI13" i="2"/>
  <c r="AF13" i="2"/>
  <c r="AR12" i="2"/>
  <c r="AO12" i="2"/>
  <c r="AL12" i="2"/>
  <c r="AI12" i="2"/>
  <c r="AF12" i="2"/>
  <c r="AR11" i="2"/>
  <c r="AO11" i="2"/>
  <c r="AL11" i="2"/>
  <c r="AI11" i="2"/>
  <c r="AF11" i="2"/>
  <c r="AR10" i="2"/>
  <c r="AO10" i="2"/>
  <c r="AL10" i="2"/>
  <c r="AI10" i="2"/>
  <c r="AF10" i="2"/>
  <c r="AR9" i="2"/>
  <c r="AO9" i="2"/>
  <c r="AL9" i="2"/>
  <c r="AI9" i="2"/>
  <c r="AF9" i="2"/>
  <c r="AR8" i="2"/>
  <c r="AO8" i="2"/>
  <c r="AL8" i="2"/>
  <c r="AI8" i="2"/>
  <c r="AF8" i="2"/>
  <c r="AR7" i="2"/>
  <c r="AO7" i="2"/>
  <c r="AL7" i="2"/>
  <c r="AI7" i="2"/>
  <c r="AF7" i="2"/>
  <c r="AR6" i="2"/>
  <c r="AO6" i="2"/>
  <c r="AL6" i="2"/>
  <c r="AI6" i="2"/>
  <c r="AF6" i="2"/>
  <c r="AR5" i="2"/>
  <c r="AO5" i="2"/>
  <c r="AL5" i="2"/>
  <c r="AI5" i="2"/>
  <c r="AF5" i="2"/>
  <c r="AR4" i="2"/>
  <c r="AO4" i="2"/>
  <c r="AL4" i="2"/>
  <c r="AI4" i="2"/>
  <c r="AF4" i="2"/>
  <c r="AR3" i="2"/>
  <c r="AO3" i="2"/>
  <c r="AL3" i="2"/>
  <c r="AI3" i="2"/>
  <c r="AF3" i="2"/>
  <c r="AR2" i="2"/>
  <c r="AO2" i="2"/>
  <c r="AL2" i="2"/>
  <c r="AI2" i="2"/>
  <c r="AF2" i="2"/>
  <c r="AR1" i="2"/>
  <c r="AO1" i="2"/>
  <c r="AL1" i="2"/>
  <c r="AI1" i="2"/>
  <c r="AF1" i="2"/>
  <c r="AC15" i="2"/>
  <c r="Z15" i="2"/>
  <c r="W15" i="2"/>
  <c r="T15" i="2"/>
  <c r="Q15" i="2"/>
  <c r="AC14" i="2"/>
  <c r="Z14" i="2"/>
  <c r="W14" i="2"/>
  <c r="T14" i="2"/>
  <c r="Q14" i="2"/>
  <c r="AC13" i="2"/>
  <c r="Z13" i="2"/>
  <c r="W13" i="2"/>
  <c r="T13" i="2"/>
  <c r="Q13" i="2"/>
  <c r="AC12" i="2"/>
  <c r="Z12" i="2"/>
  <c r="W12" i="2"/>
  <c r="T12" i="2"/>
  <c r="Q12" i="2"/>
  <c r="AC11" i="2"/>
  <c r="Z11" i="2"/>
  <c r="W11" i="2"/>
  <c r="T11" i="2"/>
  <c r="Q11" i="2"/>
  <c r="AC10" i="2"/>
  <c r="Z10" i="2"/>
  <c r="W10" i="2"/>
  <c r="T10" i="2"/>
  <c r="Q10" i="2"/>
  <c r="AC9" i="2"/>
  <c r="Z9" i="2"/>
  <c r="W9" i="2"/>
  <c r="T9" i="2"/>
  <c r="Q9" i="2"/>
  <c r="AC8" i="2"/>
  <c r="Z8" i="2"/>
  <c r="W8" i="2"/>
  <c r="T8" i="2"/>
  <c r="Q8" i="2"/>
  <c r="AC7" i="2"/>
  <c r="Z7" i="2"/>
  <c r="W7" i="2"/>
  <c r="T7" i="2"/>
  <c r="Q7" i="2"/>
  <c r="AC6" i="2"/>
  <c r="Z6" i="2"/>
  <c r="W6" i="2"/>
  <c r="T6" i="2"/>
  <c r="Q6" i="2"/>
  <c r="AC5" i="2"/>
  <c r="Z5" i="2"/>
  <c r="W5" i="2"/>
  <c r="T5" i="2"/>
  <c r="Q5" i="2"/>
  <c r="AC4" i="2"/>
  <c r="Z4" i="2"/>
  <c r="W4" i="2"/>
  <c r="T4" i="2"/>
  <c r="Q4" i="2"/>
  <c r="AC3" i="2"/>
  <c r="Z3" i="2"/>
  <c r="W3" i="2"/>
  <c r="T3" i="2"/>
  <c r="Q3" i="2"/>
  <c r="AC2" i="2"/>
  <c r="Z2" i="2"/>
  <c r="W2" i="2"/>
  <c r="T2" i="2"/>
  <c r="Q2" i="2"/>
  <c r="AC1" i="2"/>
  <c r="Z1" i="2"/>
  <c r="W1" i="2"/>
  <c r="T1" i="2"/>
  <c r="Q1" i="2"/>
  <c r="B1" i="2"/>
  <c r="B2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E1" i="2"/>
  <c r="E2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H1" i="2"/>
  <c r="H2" i="2"/>
  <c r="H3" i="2"/>
  <c r="H4" i="2"/>
  <c r="H5" i="2"/>
  <c r="H6" i="2"/>
  <c r="H7" i="2"/>
  <c r="H8" i="2"/>
  <c r="H9" i="2"/>
  <c r="H10" i="2"/>
  <c r="H11" i="2"/>
  <c r="H12" i="2"/>
  <c r="H13" i="2"/>
  <c r="H14" i="2"/>
  <c r="H15" i="2"/>
  <c r="K1" i="2"/>
  <c r="K2" i="2"/>
  <c r="K3" i="2"/>
  <c r="K4" i="2"/>
  <c r="K5" i="2"/>
  <c r="K6" i="2"/>
  <c r="K7" i="2"/>
  <c r="K8" i="2"/>
  <c r="K9" i="2"/>
  <c r="K10" i="2"/>
  <c r="K11" i="2"/>
  <c r="K12" i="2"/>
  <c r="K13" i="2"/>
  <c r="K14" i="2"/>
  <c r="K15" i="2"/>
  <c r="N1" i="2"/>
  <c r="N2" i="2"/>
  <c r="N3" i="2"/>
  <c r="N4" i="2"/>
  <c r="N5" i="2"/>
  <c r="N6" i="2"/>
  <c r="N7" i="2"/>
  <c r="N8" i="2"/>
  <c r="N9" i="2"/>
  <c r="N10" i="2"/>
  <c r="N11" i="2"/>
  <c r="N12" i="2"/>
  <c r="N13" i="2"/>
  <c r="N14" i="2"/>
  <c r="N15" i="2"/>
  <c r="I5" i="1" l="1"/>
  <c r="I4" i="1"/>
  <c r="I6" i="1"/>
  <c r="I3" i="1"/>
  <c r="I2" i="1"/>
  <c r="I12" i="1"/>
  <c r="I11" i="1"/>
  <c r="I13" i="1"/>
  <c r="I10" i="1"/>
  <c r="I9" i="1"/>
  <c r="J17" i="1"/>
  <c r="J16" i="1"/>
  <c r="J20" i="1"/>
  <c r="J19" i="1"/>
  <c r="L13" i="1"/>
  <c r="L12" i="1"/>
  <c r="L11" i="1"/>
  <c r="L10" i="1"/>
  <c r="L9" i="1"/>
  <c r="J3" i="1"/>
  <c r="J2" i="1"/>
  <c r="J6" i="1"/>
  <c r="J5" i="1"/>
  <c r="K2" i="1"/>
  <c r="K3" i="1"/>
  <c r="K6" i="1"/>
  <c r="K4" i="1"/>
  <c r="K5" i="1"/>
  <c r="J10" i="1"/>
  <c r="J9" i="1"/>
  <c r="J13" i="1"/>
  <c r="J12" i="1"/>
  <c r="K16" i="1"/>
  <c r="K18" i="1"/>
  <c r="K17" i="1"/>
  <c r="K20" i="1"/>
  <c r="K19" i="1"/>
  <c r="H13" i="1"/>
  <c r="H12" i="1"/>
  <c r="H11" i="1"/>
  <c r="H9" i="1"/>
  <c r="H10" i="1"/>
  <c r="I19" i="1"/>
  <c r="I18" i="1"/>
  <c r="I17" i="1"/>
  <c r="I20" i="1"/>
  <c r="I16" i="1"/>
  <c r="L6" i="1"/>
  <c r="L5" i="1"/>
  <c r="L4" i="1"/>
  <c r="L3" i="1"/>
  <c r="L2" i="1"/>
  <c r="H6" i="1"/>
  <c r="H5" i="1"/>
  <c r="H4" i="1"/>
  <c r="H2" i="1"/>
  <c r="H3" i="1"/>
  <c r="K9" i="1"/>
  <c r="K10" i="1"/>
  <c r="K13" i="1"/>
  <c r="K11" i="1"/>
  <c r="K12" i="1"/>
  <c r="H20" i="1"/>
  <c r="H19" i="1"/>
  <c r="H18" i="1"/>
  <c r="H16" i="1"/>
  <c r="H17" i="1"/>
  <c r="L20" i="1"/>
  <c r="L19" i="1"/>
  <c r="L18" i="1"/>
  <c r="L17" i="1"/>
  <c r="L16" i="1"/>
  <c r="D13" i="1"/>
  <c r="F9" i="1"/>
  <c r="B18" i="1"/>
  <c r="F5" i="1"/>
  <c r="D5" i="1"/>
  <c r="D9" i="1"/>
  <c r="C13" i="1"/>
  <c r="B12" i="1"/>
  <c r="C18" i="1"/>
  <c r="B20" i="1"/>
  <c r="F16" i="1"/>
  <c r="C16" i="1"/>
  <c r="C17" i="1"/>
  <c r="E19" i="1"/>
  <c r="F6" i="1"/>
  <c r="D17" i="1"/>
  <c r="F13" i="1"/>
  <c r="F2" i="1"/>
  <c r="D10" i="1"/>
  <c r="F3" i="1"/>
  <c r="E9" i="1"/>
  <c r="E16" i="1"/>
  <c r="F20" i="1"/>
  <c r="C6" i="1"/>
  <c r="C5" i="1"/>
  <c r="E4" i="1"/>
  <c r="C4" i="1"/>
  <c r="B10" i="1"/>
  <c r="D3" i="1"/>
  <c r="F17" i="1"/>
  <c r="E6" i="1"/>
  <c r="D6" i="1"/>
  <c r="F12" i="1"/>
  <c r="C2" i="1"/>
  <c r="B9" i="1"/>
  <c r="F10" i="1"/>
  <c r="B17" i="1"/>
  <c r="E5" i="1"/>
  <c r="D2" i="1"/>
  <c r="B19" i="1"/>
  <c r="C11" i="1"/>
  <c r="E10" i="1"/>
  <c r="F18" i="1"/>
  <c r="B5" i="1"/>
  <c r="B16" i="1"/>
  <c r="F19" i="1"/>
  <c r="B11" i="1"/>
  <c r="B3" i="1"/>
  <c r="B2" i="1"/>
  <c r="E3" i="1"/>
  <c r="B13" i="1"/>
  <c r="B6" i="1"/>
  <c r="C10" i="1"/>
  <c r="E18" i="1"/>
  <c r="B4" i="1"/>
  <c r="F4" i="1"/>
  <c r="E12" i="1"/>
  <c r="C19" i="1"/>
  <c r="C20" i="1"/>
  <c r="D16" i="1"/>
  <c r="E2" i="1"/>
  <c r="D19" i="1"/>
  <c r="E20" i="1"/>
  <c r="C12" i="1"/>
  <c r="D20" i="1"/>
  <c r="C9" i="1"/>
  <c r="C3" i="1"/>
  <c r="D12" i="1"/>
  <c r="E13" i="1"/>
  <c r="E11" i="1"/>
  <c r="E17" i="1"/>
  <c r="F11" i="1"/>
  <c r="Q4" i="1"/>
  <c r="O5" i="1" s="1"/>
</calcChain>
</file>

<file path=xl/sharedStrings.xml><?xml version="1.0" encoding="utf-8"?>
<sst xmlns="http://schemas.openxmlformats.org/spreadsheetml/2006/main" count="806" uniqueCount="47">
  <si>
    <t>B</t>
  </si>
  <si>
    <t>I</t>
  </si>
  <si>
    <t>N</t>
  </si>
  <si>
    <t>G</t>
  </si>
  <si>
    <t>O</t>
  </si>
  <si>
    <t>Contextures Excel Tips Website</t>
  </si>
  <si>
    <t>Contextures Excel Blog</t>
  </si>
  <si>
    <t>Excel Pivot Tables Blog</t>
  </si>
  <si>
    <t>Contextures Recommends</t>
  </si>
  <si>
    <t>Jon Peltier's Excel Chart Utilities</t>
  </si>
  <si>
    <t>ExcelUser Dashboards</t>
  </si>
  <si>
    <t>Chandoo's Project Management Templates</t>
  </si>
  <si>
    <t>Debra's Pivot Table Books on Amazon</t>
  </si>
  <si>
    <t>30 Excel Functions in 30 Days eBook Kit</t>
  </si>
  <si>
    <t>PivotPower Premium Add-in</t>
  </si>
  <si>
    <t>UserForms for Data Entry ebook Kit</t>
  </si>
  <si>
    <t>Excel Courses Online</t>
  </si>
  <si>
    <t>Chandoo's Excel VBA School</t>
  </si>
  <si>
    <t>Contextures Products</t>
  </si>
  <si>
    <t>Time-saving tools for pivot table power users</t>
  </si>
  <si>
    <t>Step by step instructions and videos</t>
  </si>
  <si>
    <t>Contextures Excel Tools Add-in</t>
  </si>
  <si>
    <t>Make instant backups, sort sheets, and many more tools</t>
  </si>
  <si>
    <t>Data Validation Multi-Select Premium Kit</t>
  </si>
  <si>
    <t>Select multiple items from a listbox, to enter in a single cell</t>
  </si>
  <si>
    <t>Sample workbook and easy to follow user guide for key Excel functions</t>
  </si>
  <si>
    <t>Create complex charts with just a few clicks</t>
  </si>
  <si>
    <t>Templates and instructions for impressive dashboards</t>
  </si>
  <si>
    <t>Xtreme Pivot Table Course</t>
  </si>
  <si>
    <t>Video training from beginner to advanced topics</t>
  </si>
  <si>
    <t>Power Pivot University</t>
  </si>
  <si>
    <t>Online course by Power Pivot expert Rob Collie</t>
  </si>
  <si>
    <t>Excel training by Mynda Treacy</t>
  </si>
  <si>
    <t>Become awesome in Excel VBA with Chandoo's online training</t>
  </si>
  <si>
    <t>Save time with Chandoo's templates for project management</t>
  </si>
  <si>
    <t>Contextures Sites &amp; News</t>
  </si>
  <si>
    <t>Contextures Excel Newsletter</t>
  </si>
  <si>
    <t>Weekly Excel tips, tutorials, videos, and news</t>
  </si>
  <si>
    <t>Hundreds of tutorials, tips and sample files</t>
  </si>
  <si>
    <t>Read the Excel tutorials and share your comments</t>
  </si>
  <si>
    <t>Pivot table tutorials and tips, with comments and questions</t>
  </si>
  <si>
    <t>Pivot table books for Excel 2007</t>
  </si>
  <si>
    <t>Caiex</t>
    <phoneticPr fontId="2" type="noConversion"/>
  </si>
  <si>
    <t>Caiex</t>
    <phoneticPr fontId="2" type="noConversion"/>
  </si>
  <si>
    <t>Caiex</t>
  </si>
  <si>
    <t>Caiex</t>
    <phoneticPr fontId="2" type="noConversion"/>
  </si>
  <si>
    <r>
      <t>todo</t>
    </r>
    <r>
      <rPr>
        <b/>
        <sz val="14"/>
        <rFont val="宋体"/>
        <family val="3"/>
        <charset val="134"/>
      </rPr>
      <t xml:space="preserve">：
</t>
    </r>
    <r>
      <rPr>
        <b/>
        <sz val="14"/>
        <rFont val="Arial Narrow"/>
        <family val="2"/>
      </rPr>
      <t>1. auto generate bingo sheets (VBA)
2. auto append new popped number into number queue (VBA)
3. auto jump to next valid number (VBA)</t>
    </r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</si>
</sst>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4">
    <font>
      <sz val="11"/>
      <name val="Arial Narrow"/>
      <family val="2"/>
    </font>
    <font>
      <b/>
      <sz val="14"/>
      <name val="Arial Narrow"/>
      <family val="2"/>
    </font>
    <font>
      <sz val="8"/>
      <name val="Arial Narrow"/>
      <family val="2"/>
    </font>
    <font>
      <b/>
      <sz val="26"/>
      <name val="Arial Narrow"/>
      <family val="2"/>
    </font>
    <font>
      <sz val="26"/>
      <name val="Arial Narrow"/>
      <family val="2"/>
    </font>
    <font>
      <b/>
      <sz val="11"/>
      <name val="Arial Narrow"/>
      <family val="2"/>
    </font>
    <font>
      <sz val="12"/>
      <name val="Arial Narrow"/>
      <family val="2"/>
    </font>
    <font>
      <sz val="12"/>
      <name val="Arial Narrow"/>
      <family val="2"/>
    </font>
    <font>
      <sz val="10"/>
      <name val="Arial"/>
      <family val="2"/>
    </font>
    <font>
      <u/>
      <sz val="11"/>
      <color indexed="12"/>
      <name val="Arial Narrow"/>
      <family val="2"/>
    </font>
    <font>
      <sz val="9"/>
      <name val="宋体"/>
      <charset val="134"/>
    </font>
    <font>
      <i/>
      <sz val="18"/>
      <name val="Arial Narrow"/>
      <family val="2"/>
    </font>
    <font>
      <sz val="9"/>
      <name val="宋体"/>
      <charset val="134"/>
    </font>
    <font>
      <b/>
      <sz val="20"/>
      <name val="Arial Narrow"/>
      <family val="2"/>
    </font>
    <font>
      <u/>
      <sz val="11"/>
      <color indexed="12"/>
      <name val="宋体"/>
      <charset val="134"/>
      <scheme val="minor"/>
    </font>
    <font>
      <sz val="11"/>
      <color rgb="FF006100"/>
      <name val="宋体"/>
      <charset val="134"/>
      <scheme val="minor"/>
    </font>
    <font>
      <b/>
      <sz val="14"/>
      <name val="宋体"/>
      <charset val="134"/>
      <scheme val="minor"/>
    </font>
    <font>
      <sz val="10"/>
      <name val="宋体"/>
      <charset val="134"/>
      <scheme val="minor"/>
    </font>
    <font>
      <sz val="11"/>
      <name val="宋体"/>
      <charset val="134"/>
      <scheme val="minor"/>
    </font>
    <font>
      <sz val="26"/>
      <color rgb="FF006100"/>
      <name val="Arial Unicode MS"/>
      <family val="2"/>
      <charset val="134"/>
    </font>
    <font>
      <sz val="9"/>
      <name val="宋体"/>
      <family val="3"/>
      <charset val="134"/>
    </font>
    <font>
      <b/>
      <sz val="400"/>
      <name val="Arial Narrow"/>
      <family val="2"/>
    </font>
    <font>
      <sz val="11"/>
      <name val="Arial Narrow"/>
      <family val="2"/>
    </font>
    <font>
      <b/>
      <sz val="14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rgb="FFC6EFCE"/>
      </patternFill>
    </fill>
    <fill>
      <patternFill patternType="solid">
        <fgColor rgb="FFFFFFCC"/>
      </patternFill>
    </fill>
    <fill>
      <patternFill patternType="solid">
        <fgColor theme="0" tint="-0.49998474074526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n">
        <color rgb="FFB2B2B2"/>
      </bottom>
      <diagonal/>
    </border>
  </borders>
  <cellStyleXfs count="10">
    <xf numFmtId="0" fontId="0" fillId="0" borderId="0"/>
    <xf numFmtId="0" fontId="14" fillId="0" borderId="0" applyNumberFormat="0" applyFill="0" applyBorder="0" applyAlignment="0" applyProtection="0">
      <alignment horizontal="left" indent="1"/>
    </xf>
    <xf numFmtId="0" fontId="9" fillId="0" borderId="0" applyNumberFormat="0" applyFill="0" applyBorder="0" applyAlignment="0" applyProtection="0"/>
    <xf numFmtId="0" fontId="7" fillId="0" borderId="0"/>
    <xf numFmtId="0" fontId="6" fillId="0" borderId="0"/>
    <xf numFmtId="0" fontId="6" fillId="0" borderId="0"/>
    <xf numFmtId="0" fontId="6" fillId="0" borderId="0"/>
    <xf numFmtId="0" fontId="8" fillId="0" borderId="0"/>
    <xf numFmtId="0" fontId="15" fillId="3" borderId="0" applyNumberFormat="0" applyBorder="0" applyAlignment="0" applyProtection="0"/>
    <xf numFmtId="0" fontId="22" fillId="4" borderId="10" applyNumberFormat="0" applyFont="0" applyAlignment="0" applyProtection="0">
      <alignment vertical="center"/>
    </xf>
  </cellStyleXfs>
  <cellXfs count="36">
    <xf numFmtId="0" fontId="0" fillId="0" borderId="0" xfId="0"/>
    <xf numFmtId="0" fontId="1" fillId="0" borderId="0" xfId="0" applyFont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3" fillId="0" borderId="0" xfId="0" applyFont="1"/>
    <xf numFmtId="0" fontId="4" fillId="0" borderId="0" xfId="0" applyFont="1"/>
    <xf numFmtId="0" fontId="0" fillId="0" borderId="2" xfId="0" applyBorder="1"/>
    <xf numFmtId="0" fontId="0" fillId="0" borderId="3" xfId="0" applyBorder="1"/>
    <xf numFmtId="0" fontId="0" fillId="0" borderId="0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5" fillId="0" borderId="7" xfId="0" applyFont="1" applyBorder="1"/>
    <xf numFmtId="0" fontId="5" fillId="0" borderId="8" xfId="0" applyFont="1" applyBorder="1"/>
    <xf numFmtId="0" fontId="5" fillId="0" borderId="9" xfId="0" applyFont="1" applyBorder="1"/>
    <xf numFmtId="0" fontId="5" fillId="0" borderId="2" xfId="0" applyFont="1" applyBorder="1"/>
    <xf numFmtId="0" fontId="5" fillId="0" borderId="0" xfId="0" applyFont="1" applyBorder="1"/>
    <xf numFmtId="0" fontId="5" fillId="0" borderId="5" xfId="0" applyFont="1" applyBorder="1"/>
    <xf numFmtId="0" fontId="6" fillId="0" borderId="0" xfId="4"/>
    <xf numFmtId="0" fontId="8" fillId="0" borderId="0" xfId="7"/>
    <xf numFmtId="0" fontId="6" fillId="0" borderId="0" xfId="5"/>
    <xf numFmtId="0" fontId="6" fillId="0" borderId="0" xfId="5" applyAlignment="1">
      <alignment horizontal="left"/>
    </xf>
    <xf numFmtId="0" fontId="16" fillId="0" borderId="0" xfId="5" applyFont="1" applyAlignment="1">
      <alignment horizontal="left"/>
    </xf>
    <xf numFmtId="0" fontId="17" fillId="0" borderId="0" xfId="5" applyFont="1" applyAlignment="1">
      <alignment horizontal="left"/>
    </xf>
    <xf numFmtId="0" fontId="14" fillId="0" borderId="0" xfId="1" applyAlignment="1" applyProtection="1">
      <alignment horizontal="left" indent="1"/>
    </xf>
    <xf numFmtId="0" fontId="18" fillId="0" borderId="0" xfId="5" applyFont="1" applyAlignment="1">
      <alignment horizontal="left"/>
    </xf>
    <xf numFmtId="0" fontId="18" fillId="0" borderId="0" xfId="4" applyFont="1" applyAlignment="1">
      <alignment horizontal="left"/>
    </xf>
    <xf numFmtId="0" fontId="11" fillId="2" borderId="1" xfId="0" applyFont="1" applyFill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13" fillId="0" borderId="1" xfId="0" applyFont="1" applyBorder="1" applyAlignment="1">
      <alignment horizontal="center" vertical="center"/>
    </xf>
    <xf numFmtId="0" fontId="19" fillId="3" borderId="0" xfId="8" applyFont="1" applyAlignment="1">
      <alignment horizontal="center"/>
    </xf>
    <xf numFmtId="0" fontId="21" fillId="4" borderId="10" xfId="9" applyFont="1" applyAlignment="1">
      <alignment horizontal="center" vertical="center"/>
    </xf>
    <xf numFmtId="0" fontId="3" fillId="5" borderId="11" xfId="0" applyFont="1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1" fillId="0" borderId="0" xfId="0" applyFont="1" applyAlignment="1">
      <alignment horizontal="left" vertical="top"/>
    </xf>
    <xf numFmtId="0" fontId="1" fillId="0" borderId="0" xfId="0" applyFont="1" applyAlignment="1">
      <alignment horizontal="left" vertical="top" wrapText="1"/>
    </xf>
  </cellXfs>
  <cellStyles count="10">
    <cellStyle name="Ctx_Hyperlink" xfId="1"/>
    <cellStyle name="Hyperlink 2" xfId="2"/>
    <cellStyle name="Normal 2" xfId="3"/>
    <cellStyle name="Normal 2 2" xfId="4"/>
    <cellStyle name="Normal 2 3 2" xfId="5"/>
    <cellStyle name="Normal 3" xfId="6"/>
    <cellStyle name="Normal 4" xfId="7"/>
    <cellStyle name="常规" xfId="0" builtinId="0"/>
    <cellStyle name="好" xfId="8" builtinId="26"/>
    <cellStyle name="注释" xfId="9" builtinId="10"/>
  </cellStyles>
  <dxfs count="28">
    <dxf>
      <font>
        <b val="0"/>
        <i/>
        <strike val="0"/>
        <color theme="5"/>
      </font>
    </dxf>
    <dxf>
      <font>
        <b val="0"/>
        <i/>
        <strike val="0"/>
        <color theme="5"/>
      </font>
    </dxf>
    <dxf>
      <font>
        <b val="0"/>
        <i/>
        <strike val="0"/>
        <color theme="5"/>
      </font>
    </dxf>
    <dxf>
      <font>
        <b val="0"/>
        <i/>
        <strike val="0"/>
        <color theme="5"/>
      </font>
    </dxf>
    <dxf>
      <font>
        <b val="0"/>
        <i/>
        <strike val="0"/>
        <color theme="5"/>
      </font>
    </dxf>
    <dxf>
      <font>
        <b val="0"/>
        <i/>
        <strike val="0"/>
        <color theme="5"/>
      </font>
    </dxf>
    <dxf>
      <font>
        <b val="0"/>
        <i/>
        <strike val="0"/>
        <color theme="5"/>
      </font>
    </dxf>
    <dxf>
      <font>
        <b val="0"/>
        <i/>
        <strike val="0"/>
        <color theme="5"/>
      </font>
    </dxf>
    <dxf>
      <font>
        <b val="0"/>
        <i/>
        <strike val="0"/>
        <color theme="5"/>
      </font>
    </dxf>
    <dxf>
      <font>
        <b val="0"/>
        <i/>
        <strike val="0"/>
        <color theme="5"/>
      </font>
    </dxf>
    <dxf>
      <font>
        <b val="0"/>
        <i/>
        <strike val="0"/>
        <color theme="5"/>
      </font>
    </dxf>
    <dxf>
      <font>
        <b val="0"/>
        <i/>
        <strike val="0"/>
        <color theme="5"/>
      </font>
    </dxf>
    <dxf>
      <font>
        <b val="0"/>
        <i/>
        <strike val="0"/>
        <color theme="5"/>
      </font>
    </dxf>
    <dxf>
      <font>
        <b val="0"/>
        <i/>
        <strike val="0"/>
        <color theme="5"/>
      </font>
    </dxf>
    <dxf>
      <font>
        <b val="0"/>
        <i/>
        <strike val="0"/>
        <color theme="5"/>
      </font>
    </dxf>
    <dxf>
      <font>
        <b val="0"/>
        <i/>
        <strike val="0"/>
        <color theme="5"/>
      </font>
    </dxf>
    <dxf>
      <font>
        <b val="0"/>
        <i/>
        <strike val="0"/>
        <color theme="5"/>
      </font>
    </dxf>
    <dxf>
      <font>
        <b val="0"/>
        <i/>
        <strike val="0"/>
        <color theme="5"/>
      </font>
    </dxf>
    <dxf>
      <font>
        <b val="0"/>
        <i/>
        <strike val="0"/>
        <color theme="5"/>
      </font>
    </dxf>
    <dxf>
      <font>
        <b val="0"/>
        <i/>
        <strike val="0"/>
        <color theme="5"/>
      </font>
    </dxf>
    <dxf>
      <font>
        <b val="0"/>
        <i/>
        <strike val="0"/>
        <color theme="5"/>
      </font>
    </dxf>
    <dxf>
      <font>
        <b val="0"/>
        <i/>
        <strike val="0"/>
        <color theme="5"/>
      </font>
    </dxf>
    <dxf>
      <font>
        <b val="0"/>
        <i/>
        <strike val="0"/>
        <color theme="5"/>
      </font>
    </dxf>
    <dxf>
      <font>
        <b val="0"/>
        <i/>
        <strike val="0"/>
        <color theme="5"/>
      </font>
    </dxf>
    <dxf>
      <font>
        <b val="0"/>
        <i/>
        <strike val="0"/>
        <color theme="5"/>
      </font>
    </dxf>
    <dxf>
      <font>
        <b val="0"/>
        <i/>
        <strike val="0"/>
        <color theme="5"/>
      </font>
    </dxf>
    <dxf>
      <font>
        <b val="0"/>
        <i/>
        <strike val="0"/>
        <color theme="5"/>
      </font>
    </dxf>
    <dxf>
      <font>
        <b val="0"/>
        <i/>
        <strike val="0"/>
        <color theme="5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8" Type="http://schemas.openxmlformats.org/officeDocument/2006/relationships/hyperlink" Target="http://www.mothresource.com/104-5-3-6.html" TargetMode="External"/><Relationship Id="rId13" Type="http://schemas.openxmlformats.org/officeDocument/2006/relationships/hyperlink" Target="http://www.amazon.com/gp/redirect.html?ie=UTF8&amp;location=http%3A%2F%2Fwww.amazon.com%2Fgp%2Fentity%2FDebra-Dalgleish%2FB001JP9TSO%3Fie%3DUTF8%26ref_%3Dntt_athr_dp_pel_1&amp;tag=contextures-20&amp;linkCode=ur2&amp;camp=1789&amp;creative=390957" TargetMode="External"/><Relationship Id="rId18" Type="http://schemas.openxmlformats.org/officeDocument/2006/relationships/printerSettings" Target="../printerSettings/printerSettings30.bin"/><Relationship Id="rId3" Type="http://schemas.openxmlformats.org/officeDocument/2006/relationships/hyperlink" Target="http://goo.gl/iyM0A" TargetMode="External"/><Relationship Id="rId7" Type="http://schemas.openxmlformats.org/officeDocument/2006/relationships/hyperlink" Target="http://www.contextures.com/exceluserformsfordataentry.html" TargetMode="External"/><Relationship Id="rId12" Type="http://schemas.openxmlformats.org/officeDocument/2006/relationships/hyperlink" Target="http://blog.contextures.com/" TargetMode="External"/><Relationship Id="rId17" Type="http://schemas.openxmlformats.org/officeDocument/2006/relationships/hyperlink" Target="http://www.contextures.com/excelnewslettersignup.html" TargetMode="External"/><Relationship Id="rId2" Type="http://schemas.openxmlformats.org/officeDocument/2006/relationships/hyperlink" Target="http://goo.gl/X5yk7" TargetMode="External"/><Relationship Id="rId16" Type="http://schemas.openxmlformats.org/officeDocument/2006/relationships/hyperlink" Target="https://getdpd.com/cart/hoplink/18753?referrer=12k7a5cl5zsgscs4" TargetMode="External"/><Relationship Id="rId1" Type="http://schemas.openxmlformats.org/officeDocument/2006/relationships/hyperlink" Target="http://goo.gl/72kR1" TargetMode="External"/><Relationship Id="rId6" Type="http://schemas.openxmlformats.org/officeDocument/2006/relationships/hyperlink" Target="http://www.contextures.com/xlPivotPremAddIn.html" TargetMode="External"/><Relationship Id="rId11" Type="http://schemas.openxmlformats.org/officeDocument/2006/relationships/hyperlink" Target="http://www.pivot-table.com/" TargetMode="External"/><Relationship Id="rId5" Type="http://schemas.openxmlformats.org/officeDocument/2006/relationships/hyperlink" Target="http://www.contextures.com/30excelfunctionsin30days01.html" TargetMode="External"/><Relationship Id="rId15" Type="http://schemas.openxmlformats.org/officeDocument/2006/relationships/hyperlink" Target="http://ppvt.pro/1fAo0iY" TargetMode="External"/><Relationship Id="rId10" Type="http://schemas.openxmlformats.org/officeDocument/2006/relationships/hyperlink" Target="http://www.contextures.com/tiptech.html" TargetMode="External"/><Relationship Id="rId4" Type="http://schemas.openxmlformats.org/officeDocument/2006/relationships/hyperlink" Target="http://goo.gl/rJ6KH" TargetMode="External"/><Relationship Id="rId9" Type="http://schemas.openxmlformats.org/officeDocument/2006/relationships/hyperlink" Target="http://www.contextures.com/exceltoolsaddin.html" TargetMode="External"/><Relationship Id="rId14" Type="http://schemas.openxmlformats.org/officeDocument/2006/relationships/hyperlink" Target="http://www.contextures.com/datavalidationmultiselectpremium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CK21"/>
  <sheetViews>
    <sheetView showGridLines="0" tabSelected="1" zoomScale="55" zoomScaleNormal="55" zoomScaleSheetLayoutView="55" workbookViewId="0">
      <selection activeCell="O21" sqref="O21"/>
    </sheetView>
  </sheetViews>
  <sheetFormatPr defaultRowHeight="33.75"/>
  <cols>
    <col min="1" max="1" width="4.140625" customWidth="1"/>
    <col min="2" max="6" width="13.85546875" style="5" customWidth="1"/>
    <col min="7" max="7" width="3.140625" customWidth="1"/>
    <col min="8" max="12" width="13.85546875" style="5" customWidth="1"/>
    <col min="13" max="13" width="4.140625" customWidth="1"/>
    <col min="14" max="14" width="14.85546875" customWidth="1"/>
    <col min="15" max="89" width="8.140625" customWidth="1"/>
  </cols>
  <sheetData>
    <row r="1" spans="2:89" s="3" customFormat="1" ht="60" customHeight="1">
      <c r="B1" s="27" t="s">
        <v>0</v>
      </c>
      <c r="C1" s="27" t="s">
        <v>1</v>
      </c>
      <c r="D1" s="27" t="s">
        <v>2</v>
      </c>
      <c r="E1" s="27" t="s">
        <v>3</v>
      </c>
      <c r="F1" s="27" t="s">
        <v>4</v>
      </c>
      <c r="G1" s="28"/>
      <c r="H1" s="27" t="s">
        <v>0</v>
      </c>
      <c r="I1" s="27" t="s">
        <v>1</v>
      </c>
      <c r="J1" s="27" t="s">
        <v>2</v>
      </c>
      <c r="K1" s="27" t="s">
        <v>3</v>
      </c>
      <c r="L1" s="27" t="s">
        <v>4</v>
      </c>
      <c r="N1" s="5" t="str">
        <f ca="1">MID(CELL("filename",A1),FIND("]",CELL("filename",A1))+1,255)</f>
        <v>Cards</v>
      </c>
      <c r="O1" s="30">
        <v>1</v>
      </c>
      <c r="P1" s="30">
        <v>2</v>
      </c>
      <c r="Q1" s="30">
        <v>3</v>
      </c>
      <c r="R1" s="30">
        <v>4</v>
      </c>
      <c r="S1" s="30">
        <v>5</v>
      </c>
      <c r="T1" s="30">
        <v>6</v>
      </c>
      <c r="U1" s="30">
        <v>7</v>
      </c>
      <c r="V1" s="30">
        <v>8</v>
      </c>
      <c r="W1" s="30">
        <v>9</v>
      </c>
      <c r="X1" s="30">
        <v>10</v>
      </c>
      <c r="Y1" s="30">
        <v>11</v>
      </c>
      <c r="Z1" s="30">
        <v>12</v>
      </c>
      <c r="AA1" s="30">
        <v>13</v>
      </c>
      <c r="AB1" s="30">
        <v>14</v>
      </c>
      <c r="AC1" s="30">
        <v>15</v>
      </c>
      <c r="AD1" s="30">
        <v>16</v>
      </c>
      <c r="AE1" s="30">
        <v>17</v>
      </c>
      <c r="AF1" s="30">
        <v>18</v>
      </c>
      <c r="AG1" s="30">
        <v>19</v>
      </c>
      <c r="AH1" s="30">
        <v>20</v>
      </c>
      <c r="AI1" s="30">
        <v>21</v>
      </c>
      <c r="AJ1" s="30">
        <v>22</v>
      </c>
      <c r="AK1" s="30">
        <v>23</v>
      </c>
      <c r="AL1" s="30">
        <v>24</v>
      </c>
      <c r="AM1" s="30">
        <v>25</v>
      </c>
      <c r="AN1" s="30">
        <v>26</v>
      </c>
      <c r="AO1" s="30">
        <v>27</v>
      </c>
      <c r="AP1" s="30">
        <v>28</v>
      </c>
      <c r="AQ1" s="30">
        <v>29</v>
      </c>
      <c r="AR1" s="30">
        <v>30</v>
      </c>
      <c r="AS1" s="30">
        <v>31</v>
      </c>
      <c r="AT1" s="30">
        <v>32</v>
      </c>
      <c r="AU1" s="30">
        <v>33</v>
      </c>
      <c r="AV1" s="30">
        <v>34</v>
      </c>
      <c r="AW1" s="30">
        <v>35</v>
      </c>
      <c r="AX1" s="30">
        <v>36</v>
      </c>
      <c r="AY1" s="30">
        <v>37</v>
      </c>
      <c r="AZ1" s="30">
        <v>38</v>
      </c>
      <c r="BA1" s="30">
        <v>39</v>
      </c>
      <c r="BB1" s="30">
        <v>40</v>
      </c>
      <c r="BC1" s="30">
        <v>41</v>
      </c>
      <c r="BD1" s="30">
        <v>42</v>
      </c>
      <c r="BE1" s="30">
        <v>43</v>
      </c>
      <c r="BF1" s="30">
        <v>44</v>
      </c>
      <c r="BG1" s="30">
        <v>45</v>
      </c>
      <c r="BH1" s="30">
        <v>46</v>
      </c>
      <c r="BI1" s="30">
        <v>47</v>
      </c>
      <c r="BJ1" s="30">
        <v>48</v>
      </c>
      <c r="BK1" s="30">
        <v>49</v>
      </c>
      <c r="BL1" s="30">
        <v>50</v>
      </c>
      <c r="BM1" s="30">
        <v>51</v>
      </c>
      <c r="BN1" s="30">
        <v>52</v>
      </c>
      <c r="BO1" s="30">
        <v>53</v>
      </c>
      <c r="BP1" s="30">
        <v>54</v>
      </c>
      <c r="BQ1" s="30">
        <v>55</v>
      </c>
      <c r="BR1" s="30">
        <v>56</v>
      </c>
      <c r="BS1" s="30">
        <v>57</v>
      </c>
      <c r="BT1" s="30">
        <v>58</v>
      </c>
      <c r="BU1" s="30">
        <v>59</v>
      </c>
      <c r="BV1" s="30">
        <v>60</v>
      </c>
      <c r="BW1" s="30">
        <v>61</v>
      </c>
      <c r="BX1" s="30">
        <v>62</v>
      </c>
      <c r="BY1" s="30">
        <v>63</v>
      </c>
      <c r="BZ1" s="30">
        <v>64</v>
      </c>
      <c r="CA1" s="30">
        <v>65</v>
      </c>
      <c r="CB1" s="30">
        <v>66</v>
      </c>
      <c r="CC1" s="30">
        <v>67</v>
      </c>
      <c r="CD1" s="30">
        <v>68</v>
      </c>
      <c r="CE1" s="30">
        <v>69</v>
      </c>
      <c r="CF1" s="30">
        <v>70</v>
      </c>
      <c r="CG1" s="30">
        <v>71</v>
      </c>
      <c r="CH1" s="30">
        <v>72</v>
      </c>
      <c r="CI1" s="30">
        <v>73</v>
      </c>
      <c r="CJ1" s="30">
        <v>74</v>
      </c>
      <c r="CK1" s="30">
        <v>75</v>
      </c>
    </row>
    <row r="2" spans="2:89" s="4" customFormat="1" ht="60" customHeight="1">
      <c r="B2" s="29">
        <f ca="1">INDEX(Numbers!$A$1:$A$15,MATCH(LARGE(Numbers!$B$1:$B$15,ROW()-1),Numbers!$B$1:$B$15,0))</f>
        <v>12</v>
      </c>
      <c r="C2" s="29">
        <f ca="1">INDEX(Numbers!$D$1:$D$15,MATCH(LARGE(Numbers!$E$1:$E$15,ROW()-1),Numbers!$E$1:$E$15,0))</f>
        <v>19</v>
      </c>
      <c r="D2" s="29">
        <f ca="1">INDEX(Numbers!$G$1:$G$15,MATCH(LARGE(Numbers!$H$1:$H$15,ROW()-1),Numbers!$H$1:$H$15,0))</f>
        <v>34</v>
      </c>
      <c r="E2" s="29">
        <f ca="1">INDEX(Numbers!$J$1:$J$15,MATCH(LARGE(Numbers!$K$1:$K$15,ROW()-1),Numbers!$K$1:$K$15,0))</f>
        <v>46</v>
      </c>
      <c r="F2" s="29">
        <f ca="1">INDEX(Numbers!$M$1:$M$15,MATCH(LARGE(Numbers!$N$1:$N$15,ROW()-1),Numbers!$N$1:$N$15,0))</f>
        <v>72</v>
      </c>
      <c r="G2" s="29"/>
      <c r="H2" s="29">
        <f ca="1">INDEX(Numbers!$A$15:$A$35,MATCH(LARGE(Numbers!$B$15:$B$35,ROW()-1),Numbers!$B$15:$B$35,0))</f>
        <v>9</v>
      </c>
      <c r="I2" s="29">
        <f ca="1">INDEX(Numbers!$D$15:$D$35,MATCH(LARGE(Numbers!$E$15:$E$35,ROW()-1),Numbers!$E$15:$E$35,0))</f>
        <v>17</v>
      </c>
      <c r="J2" s="29">
        <f ca="1">INDEX(Numbers!$G$15:$G$35,MATCH(LARGE(Numbers!$H$15:$H$35,ROW()-1),Numbers!$H$15:$H$35,0))</f>
        <v>38</v>
      </c>
      <c r="K2" s="29">
        <f ca="1">INDEX(Numbers!$J$15:$J$35,MATCH(LARGE(Numbers!$K$15:$K$35,ROW()-1),Numbers!$K$15:$K$35,0))</f>
        <v>59</v>
      </c>
      <c r="L2" s="29">
        <f ca="1">INDEX(Numbers!$M$15:$M$35,MATCH(LARGE(Numbers!$N$15:$N$35,ROW()-1),Numbers!$N$15:$N$35,0))</f>
        <v>71</v>
      </c>
      <c r="O2" s="2">
        <v>1</v>
      </c>
      <c r="P2" s="2">
        <v>3</v>
      </c>
      <c r="Q2" s="2">
        <v>5</v>
      </c>
      <c r="R2" s="2">
        <v>7</v>
      </c>
      <c r="S2" s="2">
        <v>9</v>
      </c>
      <c r="T2" s="2">
        <v>11</v>
      </c>
      <c r="U2" s="2">
        <v>13</v>
      </c>
      <c r="V2" s="2">
        <v>15</v>
      </c>
      <c r="W2" s="2">
        <v>17</v>
      </c>
      <c r="X2" s="2">
        <v>19</v>
      </c>
      <c r="Y2" s="2">
        <v>21</v>
      </c>
      <c r="Z2" s="2">
        <v>23</v>
      </c>
      <c r="AA2" s="2">
        <v>25</v>
      </c>
      <c r="AB2" s="2">
        <v>27</v>
      </c>
      <c r="AC2" s="2">
        <v>29</v>
      </c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</row>
    <row r="3" spans="2:89" s="4" customFormat="1" ht="60" customHeight="1">
      <c r="B3" s="29">
        <f ca="1">INDEX(Numbers!$A$1:$A$15,MATCH(LARGE(Numbers!$B$1:$B$15,ROW()-1),Numbers!$B$1:$B$15,0))</f>
        <v>7</v>
      </c>
      <c r="C3" s="29">
        <f ca="1">INDEX(Numbers!$D$1:$D$15,MATCH(LARGE(Numbers!$E$1:$E$15,ROW()-1),Numbers!$E$1:$E$15,0))</f>
        <v>23</v>
      </c>
      <c r="D3" s="29">
        <f ca="1">INDEX(Numbers!$G$1:$G$15,MATCH(LARGE(Numbers!$H$1:$H$15,ROW()-1),Numbers!$H$1:$H$15,0))</f>
        <v>33</v>
      </c>
      <c r="E3" s="29">
        <f ca="1">INDEX(Numbers!$J$1:$J$15,MATCH(LARGE(Numbers!$K$1:$K$15,ROW()-1),Numbers!$K$1:$K$15,0))</f>
        <v>60</v>
      </c>
      <c r="F3" s="29">
        <f ca="1">INDEX(Numbers!$M$1:$M$15,MATCH(LARGE(Numbers!$N$1:$N$15,ROW()-1),Numbers!$N$1:$N$15,0))</f>
        <v>75</v>
      </c>
      <c r="G3" s="29"/>
      <c r="H3" s="29">
        <f ca="1">INDEX(Numbers!$A$15:$A$35,MATCH(LARGE(Numbers!$B$15:$B$35,ROW()-1),Numbers!$B$15:$B$35,0))</f>
        <v>15</v>
      </c>
      <c r="I3" s="29">
        <f ca="1">INDEX(Numbers!$D$15:$D$35,MATCH(LARGE(Numbers!$E$15:$E$35,ROW()-1),Numbers!$E$15:$E$35,0))</f>
        <v>26</v>
      </c>
      <c r="J3" s="29">
        <f ca="1">INDEX(Numbers!$G$15:$G$35,MATCH(LARGE(Numbers!$H$15:$H$35,ROW()-1),Numbers!$H$15:$H$35,0))</f>
        <v>40</v>
      </c>
      <c r="K3" s="29">
        <f ca="1">INDEX(Numbers!$J$15:$J$35,MATCH(LARGE(Numbers!$K$15:$K$35,ROW()-1),Numbers!$K$15:$K$35,0))</f>
        <v>60</v>
      </c>
      <c r="L3" s="29">
        <f ca="1">INDEX(Numbers!$M$15:$M$35,MATCH(LARGE(Numbers!$N$15:$N$35,ROW()-1),Numbers!$N$15:$N$35,0))</f>
        <v>75</v>
      </c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BA3"/>
    </row>
    <row r="4" spans="2:89" s="4" customFormat="1" ht="60" customHeight="1">
      <c r="B4" s="29">
        <f ca="1">INDEX(Numbers!$A$1:$A$15,MATCH(LARGE(Numbers!$B$1:$B$15,ROW()-1),Numbers!$B$1:$B$15,0))</f>
        <v>15</v>
      </c>
      <c r="C4" s="29">
        <f ca="1">INDEX(Numbers!$D$1:$D$15,MATCH(LARGE(Numbers!$E$1:$E$15,ROW()-1),Numbers!$E$1:$E$15,0))</f>
        <v>17</v>
      </c>
      <c r="D4" s="29" t="s">
        <v>42</v>
      </c>
      <c r="E4" s="29">
        <f ca="1">INDEX(Numbers!$J$1:$J$15,MATCH(LARGE(Numbers!$K$1:$K$15,ROW()-1),Numbers!$K$1:$K$15,0))</f>
        <v>58</v>
      </c>
      <c r="F4" s="29">
        <f ca="1">INDEX(Numbers!$M$1:$M$15,MATCH(LARGE(Numbers!$N$1:$N$15,ROW()-1),Numbers!$N$1:$N$15,0))</f>
        <v>63</v>
      </c>
      <c r="G4" s="29"/>
      <c r="H4" s="29">
        <f ca="1">INDEX(Numbers!$A$15:$A$35,MATCH(LARGE(Numbers!$B$15:$B$35,ROW()-1),Numbers!$B$15:$B$35,0))</f>
        <v>3</v>
      </c>
      <c r="I4" s="29">
        <f ca="1">INDEX(Numbers!$D$15:$D$35,MATCH(LARGE(Numbers!$E$15:$E$35,ROW()-1),Numbers!$E$15:$E$35,0))</f>
        <v>25</v>
      </c>
      <c r="J4" s="29" t="s">
        <v>43</v>
      </c>
      <c r="K4" s="29">
        <f ca="1">INDEX(Numbers!$J$15:$J$35,MATCH(LARGE(Numbers!$K$15:$K$35,ROW()-1),Numbers!$K$15:$K$35,0))</f>
        <v>50</v>
      </c>
      <c r="L4" s="29">
        <f ca="1">INDEX(Numbers!$M$15:$M$35,MATCH(LARGE(Numbers!$N$15:$N$35,ROW()-1),Numbers!$N$15:$N$35,0))</f>
        <v>61</v>
      </c>
      <c r="O4" s="32">
        <f ca="1">RANDBETWEEN(1,75)</f>
        <v>29</v>
      </c>
      <c r="P4" s="32"/>
      <c r="Q4" s="33">
        <f ca="1">MATCH(O4,$O$2:$AR$2,0)</f>
        <v>15</v>
      </c>
      <c r="R4" s="33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BA4"/>
    </row>
    <row r="5" spans="2:89" s="4" customFormat="1" ht="60" customHeight="1">
      <c r="B5" s="29">
        <f ca="1">INDEX(Numbers!$A$1:$A$15,MATCH(LARGE(Numbers!$B$1:$B$15,ROW()-1),Numbers!$B$1:$B$15,0))</f>
        <v>3</v>
      </c>
      <c r="C5" s="29">
        <f ca="1">INDEX(Numbers!$D$1:$D$15,MATCH(LARGE(Numbers!$E$1:$E$15,ROW()-1),Numbers!$E$1:$E$15,0))</f>
        <v>21</v>
      </c>
      <c r="D5" s="29">
        <f ca="1">INDEX(Numbers!$G$1:$G$15,MATCH(LARGE(Numbers!$H$1:$H$15,ROW()-1),Numbers!$H$1:$H$15,0))</f>
        <v>31</v>
      </c>
      <c r="E5" s="29">
        <f ca="1">INDEX(Numbers!$J$1:$J$15,MATCH(LARGE(Numbers!$K$1:$K$15,ROW()-1),Numbers!$K$1:$K$15,0))</f>
        <v>57</v>
      </c>
      <c r="F5" s="29">
        <f ca="1">INDEX(Numbers!$M$1:$M$15,MATCH(LARGE(Numbers!$N$1:$N$15,ROW()-1),Numbers!$N$1:$N$15,0))</f>
        <v>70</v>
      </c>
      <c r="G5" s="29"/>
      <c r="H5" s="29">
        <f ca="1">INDEX(Numbers!$A$15:$A$35,MATCH(LARGE(Numbers!$B$15:$B$35,ROW()-1),Numbers!$B$15:$B$35,0))</f>
        <v>8</v>
      </c>
      <c r="I5" s="29">
        <f ca="1">INDEX(Numbers!$D$15:$D$35,MATCH(LARGE(Numbers!$E$15:$E$35,ROW()-1),Numbers!$E$15:$E$35,0))</f>
        <v>19</v>
      </c>
      <c r="J5" s="29">
        <f ca="1">INDEX(Numbers!$G$15:$G$35,MATCH(LARGE(Numbers!$H$15:$H$35,ROW()-1),Numbers!$H$15:$H$35,0))</f>
        <v>43</v>
      </c>
      <c r="K5" s="29">
        <f ca="1">INDEX(Numbers!$J$15:$J$35,MATCH(LARGE(Numbers!$K$15:$K$35,ROW()-1),Numbers!$K$15:$K$35,0))</f>
        <v>54</v>
      </c>
      <c r="L5" s="29">
        <f ca="1">INDEX(Numbers!$M$15:$M$35,MATCH(LARGE(Numbers!$N$15:$N$35,ROW()-1),Numbers!$N$15:$N$35,0))</f>
        <v>73</v>
      </c>
      <c r="O5" s="31" t="str">
        <f ca="1">IF(NOT(ISNA(Q4)),"",O4)</f>
        <v/>
      </c>
      <c r="P5" s="31"/>
      <c r="Q5" s="31"/>
      <c r="R5" s="31"/>
      <c r="S5" s="31"/>
      <c r="T5" s="31"/>
      <c r="U5" s="31"/>
      <c r="V5" s="31"/>
      <c r="W5" s="31"/>
      <c r="X5" s="31"/>
      <c r="Y5" s="31"/>
      <c r="Z5" s="31"/>
      <c r="AA5" s="31"/>
      <c r="AB5" s="31"/>
      <c r="AC5" s="31"/>
      <c r="AD5" s="31"/>
      <c r="AE5" s="31"/>
      <c r="AF5" s="31"/>
      <c r="AG5" s="31"/>
      <c r="AH5" s="31"/>
      <c r="AS5"/>
      <c r="BA5"/>
    </row>
    <row r="6" spans="2:89" s="4" customFormat="1" ht="60" customHeight="1">
      <c r="B6" s="29">
        <f ca="1">INDEX(Numbers!$A$1:$A$15,MATCH(LARGE(Numbers!$B$1:$B$15,ROW()-1),Numbers!$B$1:$B$15,0))</f>
        <v>4</v>
      </c>
      <c r="C6" s="29">
        <f ca="1">INDEX(Numbers!$D$1:$D$15,MATCH(LARGE(Numbers!$E$1:$E$15,ROW()-1),Numbers!$E$1:$E$15,0))</f>
        <v>25</v>
      </c>
      <c r="D6" s="29">
        <f ca="1">INDEX(Numbers!$G$1:$G$15,MATCH(LARGE(Numbers!$H$1:$H$15,ROW()-1),Numbers!$H$1:$H$15,0))</f>
        <v>36</v>
      </c>
      <c r="E6" s="29">
        <f ca="1">INDEX(Numbers!$J$1:$J$15,MATCH(LARGE(Numbers!$K$1:$K$15,ROW()-1),Numbers!$K$1:$K$15,0))</f>
        <v>59</v>
      </c>
      <c r="F6" s="29">
        <f ca="1">INDEX(Numbers!$M$1:$M$15,MATCH(LARGE(Numbers!$N$1:$N$15,ROW()-1),Numbers!$N$1:$N$15,0))</f>
        <v>73</v>
      </c>
      <c r="G6" s="29"/>
      <c r="H6" s="29">
        <f ca="1">INDEX(Numbers!$A$15:$A$35,MATCH(LARGE(Numbers!$B$15:$B$35,ROW()-1),Numbers!$B$15:$B$35,0))</f>
        <v>11</v>
      </c>
      <c r="I6" s="29">
        <f ca="1">INDEX(Numbers!$D$15:$D$35,MATCH(LARGE(Numbers!$E$15:$E$35,ROW()-1),Numbers!$E$15:$E$35,0))</f>
        <v>20</v>
      </c>
      <c r="J6" s="29">
        <f ca="1">INDEX(Numbers!$G$15:$G$35,MATCH(LARGE(Numbers!$H$15:$H$35,ROW()-1),Numbers!$H$15:$H$35,0))</f>
        <v>32</v>
      </c>
      <c r="K6" s="29">
        <f ca="1">INDEX(Numbers!$J$15:$J$35,MATCH(LARGE(Numbers!$K$15:$K$35,ROW()-1),Numbers!$K$15:$K$35,0))</f>
        <v>48</v>
      </c>
      <c r="L6" s="29">
        <f ca="1">INDEX(Numbers!$M$15:$M$35,MATCH(LARGE(Numbers!$N$15:$N$35,ROW()-1),Numbers!$N$15:$N$35,0))</f>
        <v>63</v>
      </c>
      <c r="O6" s="31"/>
      <c r="P6" s="31"/>
      <c r="Q6" s="31"/>
      <c r="R6" s="31"/>
      <c r="S6" s="31"/>
      <c r="T6" s="31"/>
      <c r="U6" s="31"/>
      <c r="V6" s="31"/>
      <c r="W6" s="31"/>
      <c r="X6" s="31"/>
      <c r="Y6" s="31"/>
      <c r="Z6" s="31"/>
      <c r="AA6" s="31"/>
      <c r="AB6" s="31"/>
      <c r="AC6" s="31"/>
      <c r="AD6" s="31"/>
      <c r="AE6" s="31"/>
      <c r="AF6" s="31"/>
      <c r="AG6" s="31"/>
      <c r="AH6" s="31"/>
      <c r="AS6"/>
      <c r="BA6"/>
    </row>
    <row r="7" spans="2:89" ht="19.5" customHeight="1">
      <c r="O7" s="31"/>
      <c r="P7" s="31"/>
      <c r="Q7" s="31"/>
      <c r="R7" s="31"/>
      <c r="S7" s="31"/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/>
      <c r="AF7" s="31"/>
      <c r="AG7" s="31"/>
      <c r="AH7" s="31"/>
    </row>
    <row r="8" spans="2:89" s="1" customFormat="1" ht="60" customHeight="1">
      <c r="B8" s="27" t="s">
        <v>0</v>
      </c>
      <c r="C8" s="27" t="s">
        <v>1</v>
      </c>
      <c r="D8" s="27" t="s">
        <v>2</v>
      </c>
      <c r="E8" s="27" t="s">
        <v>3</v>
      </c>
      <c r="F8" s="27" t="s">
        <v>4</v>
      </c>
      <c r="G8" s="28"/>
      <c r="H8" s="27" t="s">
        <v>0</v>
      </c>
      <c r="I8" s="27" t="s">
        <v>1</v>
      </c>
      <c r="J8" s="27" t="s">
        <v>2</v>
      </c>
      <c r="K8" s="27" t="s">
        <v>3</v>
      </c>
      <c r="L8" s="27" t="s">
        <v>4</v>
      </c>
      <c r="O8" s="31"/>
      <c r="P8" s="31"/>
      <c r="Q8" s="31"/>
      <c r="R8" s="31"/>
      <c r="S8" s="31"/>
      <c r="T8" s="31"/>
      <c r="U8" s="31"/>
      <c r="V8" s="31"/>
      <c r="W8" s="31"/>
      <c r="X8" s="31"/>
      <c r="Y8" s="31"/>
      <c r="Z8" s="31"/>
      <c r="AA8" s="31"/>
      <c r="AB8" s="31"/>
      <c r="AC8" s="31"/>
      <c r="AD8" s="31"/>
      <c r="AE8" s="31"/>
      <c r="AF8" s="31"/>
      <c r="AG8" s="31"/>
      <c r="AH8" s="31"/>
      <c r="AS8"/>
      <c r="BA8"/>
    </row>
    <row r="9" spans="2:89" s="1" customFormat="1" ht="60" customHeight="1">
      <c r="B9" s="29">
        <f ca="1">INDEX(Numbers!$P$1:$P$15,MATCH(LARGE(Numbers!$Q$1:$Q$15,ROW()-3),Numbers!$Q$1:$Q$15,0))</f>
        <v>7</v>
      </c>
      <c r="C9" s="29">
        <f ca="1">INDEX(Numbers!$S$1:$S$15,MATCH(LARGE(Numbers!$T$1:$T$15,ROW()-3),Numbers!$T$1:$T$15,0))</f>
        <v>18</v>
      </c>
      <c r="D9" s="29">
        <f ca="1">INDEX(Numbers!$V$1:$V$15,MATCH(LARGE(Numbers!$W$1:$W$15,ROW()-3),Numbers!$W$1:$W$15,0))</f>
        <v>31</v>
      </c>
      <c r="E9" s="29">
        <f ca="1">INDEX(Numbers!$Y$1:$Y$15,MATCH(LARGE(Numbers!$Z$1:$Z$15,ROW()-3),Numbers!$Z$1:$Z$15,0))</f>
        <v>50</v>
      </c>
      <c r="F9" s="29">
        <f ca="1">INDEX(Numbers!$AB$1:$AB$15,MATCH(LARGE(Numbers!$AC$1:$AC$15,ROW()-3),Numbers!$AC$1:$AC$15,0))</f>
        <v>75</v>
      </c>
      <c r="G9" s="29"/>
      <c r="H9" s="29">
        <f ca="1">INDEX(Numbers!$P$15:$P$35,MATCH(LARGE(Numbers!$Q$15:$Q$35,ROW()-3),Numbers!$Q$15:$Q$35,0))</f>
        <v>15</v>
      </c>
      <c r="I9" s="29">
        <f ca="1">INDEX(Numbers!$S$15:$S$35,MATCH(LARGE(Numbers!$T$15:$T$35,ROW()-3),Numbers!$T$15:$T$35,0))</f>
        <v>21</v>
      </c>
      <c r="J9" s="29">
        <f ca="1">INDEX(Numbers!$V$15:$V$35,MATCH(LARGE(Numbers!$W$15:$W$35,ROW()-3),Numbers!$W$15:$W$35,0))</f>
        <v>35</v>
      </c>
      <c r="K9" s="29">
        <f ca="1">INDEX(Numbers!$Y$15:$Y$35,MATCH(LARGE(Numbers!$Z$15:$Z$35,ROW()-3),Numbers!$Z$15:$Z$35,0))</f>
        <v>47</v>
      </c>
      <c r="L9" s="29">
        <f ca="1">INDEX(Numbers!$AB$15:$AB$35,MATCH(LARGE(Numbers!$AC$15:$AC$35,ROW()-3),Numbers!$AC$15:$AC$35,0))</f>
        <v>64</v>
      </c>
      <c r="O9" s="31"/>
      <c r="P9" s="31"/>
      <c r="Q9" s="31"/>
      <c r="R9" s="31"/>
      <c r="S9" s="31"/>
      <c r="T9" s="31"/>
      <c r="U9" s="31"/>
      <c r="V9" s="31"/>
      <c r="W9" s="31"/>
      <c r="X9" s="31"/>
      <c r="Y9" s="31"/>
      <c r="Z9" s="31"/>
      <c r="AA9" s="31"/>
      <c r="AB9" s="31"/>
      <c r="AC9" s="31"/>
      <c r="AD9" s="31"/>
      <c r="AE9" s="31"/>
      <c r="AF9" s="31"/>
      <c r="AG9" s="31"/>
      <c r="AH9" s="31"/>
      <c r="AS9"/>
      <c r="BA9"/>
    </row>
    <row r="10" spans="2:89" s="1" customFormat="1" ht="60" customHeight="1">
      <c r="B10" s="29">
        <f ca="1">INDEX(Numbers!$P$1:$P$15,MATCH(LARGE(Numbers!$Q$1:$Q$15,ROW()-3),Numbers!$Q$1:$Q$15,0))</f>
        <v>12</v>
      </c>
      <c r="C10" s="29">
        <f ca="1">INDEX(Numbers!$S$1:$S$15,MATCH(LARGE(Numbers!$T$1:$T$15,ROW()-3),Numbers!$T$1:$T$15,0))</f>
        <v>23</v>
      </c>
      <c r="D10" s="29">
        <f ca="1">INDEX(Numbers!$V$1:$V$15,MATCH(LARGE(Numbers!$W$1:$W$15,ROW()-3),Numbers!$W$1:$W$15,0))</f>
        <v>45</v>
      </c>
      <c r="E10" s="29">
        <f ca="1">INDEX(Numbers!$Y$1:$Y$15,MATCH(LARGE(Numbers!$Z$1:$Z$15,ROW()-3),Numbers!$Z$1:$Z$15,0))</f>
        <v>46</v>
      </c>
      <c r="F10" s="29">
        <f ca="1">INDEX(Numbers!$AB$1:$AB$15,MATCH(LARGE(Numbers!$AC$1:$AC$15,ROW()-3),Numbers!$AC$1:$AC$15,0))</f>
        <v>68</v>
      </c>
      <c r="G10" s="29"/>
      <c r="H10" s="29">
        <f ca="1">INDEX(Numbers!$P$15:$P$35,MATCH(LARGE(Numbers!$Q$15:$Q$35,ROW()-3),Numbers!$Q$15:$Q$35,0))</f>
        <v>2</v>
      </c>
      <c r="I10" s="29">
        <f ca="1">INDEX(Numbers!$S$15:$S$35,MATCH(LARGE(Numbers!$T$15:$T$35,ROW()-3),Numbers!$T$15:$T$35,0))</f>
        <v>24</v>
      </c>
      <c r="J10" s="29">
        <f ca="1">INDEX(Numbers!$V$15:$V$35,MATCH(LARGE(Numbers!$W$15:$W$35,ROW()-3),Numbers!$W$15:$W$35,0))</f>
        <v>36</v>
      </c>
      <c r="K10" s="29">
        <f ca="1">INDEX(Numbers!$Y$15:$Y$35,MATCH(LARGE(Numbers!$Z$15:$Z$35,ROW()-3),Numbers!$Z$15:$Z$35,0))</f>
        <v>50</v>
      </c>
      <c r="L10" s="29">
        <f ca="1">INDEX(Numbers!$AB$15:$AB$35,MATCH(LARGE(Numbers!$AC$15:$AC$35,ROW()-3),Numbers!$AC$15:$AC$35,0))</f>
        <v>75</v>
      </c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1"/>
      <c r="Z10" s="31"/>
      <c r="AA10" s="31"/>
      <c r="AB10" s="31"/>
      <c r="AC10" s="31"/>
      <c r="AD10" s="31"/>
      <c r="AE10" s="31"/>
      <c r="AF10" s="31"/>
      <c r="AG10" s="31"/>
      <c r="AH10" s="31"/>
      <c r="AS10"/>
      <c r="BA10"/>
    </row>
    <row r="11" spans="2:89" s="1" customFormat="1" ht="60" customHeight="1">
      <c r="B11" s="29">
        <f ca="1">INDEX(Numbers!$P$1:$P$15,MATCH(LARGE(Numbers!$Q$1:$Q$15,ROW()-3),Numbers!$Q$1:$Q$15,0))</f>
        <v>14</v>
      </c>
      <c r="C11" s="29">
        <f ca="1">INDEX(Numbers!$S$1:$S$15,MATCH(LARGE(Numbers!$T$1:$T$15,ROW()-3),Numbers!$T$1:$T$15,0))</f>
        <v>26</v>
      </c>
      <c r="D11" s="29" t="s">
        <v>42</v>
      </c>
      <c r="E11" s="29">
        <f ca="1">INDEX(Numbers!$Y$1:$Y$15,MATCH(LARGE(Numbers!$Z$1:$Z$15,ROW()-3),Numbers!$Z$1:$Z$15,0))</f>
        <v>51</v>
      </c>
      <c r="F11" s="29">
        <f ca="1">INDEX(Numbers!$AB$1:$AB$15,MATCH(LARGE(Numbers!$AC$1:$AC$15,ROW()-3),Numbers!$AC$1:$AC$15,0))</f>
        <v>63</v>
      </c>
      <c r="G11" s="29"/>
      <c r="H11" s="29">
        <f ca="1">INDEX(Numbers!$P$15:$P$35,MATCH(LARGE(Numbers!$Q$15:$Q$35,ROW()-3),Numbers!$Q$15:$Q$35,0))</f>
        <v>11</v>
      </c>
      <c r="I11" s="29">
        <f ca="1">INDEX(Numbers!$S$15:$S$35,MATCH(LARGE(Numbers!$T$15:$T$35,ROW()-3),Numbers!$T$15:$T$35,0))</f>
        <v>19</v>
      </c>
      <c r="J11" s="29" t="s">
        <v>42</v>
      </c>
      <c r="K11" s="29">
        <f ca="1">INDEX(Numbers!$Y$15:$Y$35,MATCH(LARGE(Numbers!$Z$15:$Z$35,ROW()-3),Numbers!$Z$15:$Z$35,0))</f>
        <v>54</v>
      </c>
      <c r="L11" s="29">
        <f ca="1">INDEX(Numbers!$AB$15:$AB$35,MATCH(LARGE(Numbers!$AC$15:$AC$35,ROW()-3),Numbers!$AC$15:$AC$35,0))</f>
        <v>73</v>
      </c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1"/>
      <c r="Z11" s="31"/>
      <c r="AA11" s="31"/>
      <c r="AB11" s="31"/>
      <c r="AC11" s="31"/>
      <c r="AD11" s="31"/>
      <c r="AE11" s="31"/>
      <c r="AF11" s="31"/>
      <c r="AG11" s="31"/>
      <c r="AH11" s="31"/>
      <c r="AS11"/>
      <c r="BA11"/>
    </row>
    <row r="12" spans="2:89" s="1" customFormat="1" ht="60" customHeight="1">
      <c r="B12" s="29">
        <f ca="1">INDEX(Numbers!$P$1:$P$15,MATCH(LARGE(Numbers!$Q$1:$Q$15,ROW()-3),Numbers!$Q$1:$Q$15,0))</f>
        <v>8</v>
      </c>
      <c r="C12" s="29">
        <f ca="1">INDEX(Numbers!$S$1:$S$15,MATCH(LARGE(Numbers!$T$1:$T$15,ROW()-3),Numbers!$T$1:$T$15,0))</f>
        <v>24</v>
      </c>
      <c r="D12" s="29">
        <f ca="1">INDEX(Numbers!$V$1:$V$15,MATCH(LARGE(Numbers!$W$1:$W$15,ROW()-3),Numbers!$W$1:$W$15,0))</f>
        <v>37</v>
      </c>
      <c r="E12" s="29">
        <f ca="1">INDEX(Numbers!$Y$1:$Y$15,MATCH(LARGE(Numbers!$Z$1:$Z$15,ROW()-3),Numbers!$Z$1:$Z$15,0))</f>
        <v>55</v>
      </c>
      <c r="F12" s="29">
        <f ca="1">INDEX(Numbers!$AB$1:$AB$15,MATCH(LARGE(Numbers!$AC$1:$AC$15,ROW()-3),Numbers!$AC$1:$AC$15,0))</f>
        <v>67</v>
      </c>
      <c r="G12" s="29"/>
      <c r="H12" s="29">
        <f ca="1">INDEX(Numbers!$P$15:$P$35,MATCH(LARGE(Numbers!$Q$15:$Q$35,ROW()-3),Numbers!$Q$15:$Q$35,0))</f>
        <v>14</v>
      </c>
      <c r="I12" s="29">
        <f ca="1">INDEX(Numbers!$S$15:$S$35,MATCH(LARGE(Numbers!$T$15:$T$35,ROW()-3),Numbers!$T$15:$T$35,0))</f>
        <v>26</v>
      </c>
      <c r="J12" s="29">
        <f ca="1">INDEX(Numbers!$V$15:$V$35,MATCH(LARGE(Numbers!$W$15:$W$35,ROW()-3),Numbers!$W$15:$W$35,0))</f>
        <v>31</v>
      </c>
      <c r="K12" s="29">
        <f ca="1">INDEX(Numbers!$Y$15:$Y$35,MATCH(LARGE(Numbers!$Z$15:$Z$35,ROW()-3),Numbers!$Z$15:$Z$35,0))</f>
        <v>46</v>
      </c>
      <c r="L12" s="29">
        <f ca="1">INDEX(Numbers!$AB$15:$AB$35,MATCH(LARGE(Numbers!$AC$15:$AC$35,ROW()-3),Numbers!$AC$15:$AC$35,0))</f>
        <v>65</v>
      </c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  <c r="Z12" s="31"/>
      <c r="AA12" s="31"/>
      <c r="AB12" s="31"/>
      <c r="AC12" s="31"/>
      <c r="AD12" s="31"/>
      <c r="AE12" s="31"/>
      <c r="AF12" s="31"/>
      <c r="AG12" s="31"/>
      <c r="AH12" s="31"/>
      <c r="AS12"/>
      <c r="BA12"/>
    </row>
    <row r="13" spans="2:89" s="1" customFormat="1" ht="60" customHeight="1">
      <c r="B13" s="29">
        <f ca="1">INDEX(Numbers!$P$1:$P$15,MATCH(LARGE(Numbers!$Q$1:$Q$15,ROW()-3),Numbers!$Q$1:$Q$15,0))</f>
        <v>2</v>
      </c>
      <c r="C13" s="29">
        <f ca="1">INDEX(Numbers!$S$1:$S$15,MATCH(LARGE(Numbers!$T$1:$T$15,ROW()-3),Numbers!$T$1:$T$15,0))</f>
        <v>22</v>
      </c>
      <c r="D13" s="29">
        <f ca="1">INDEX(Numbers!$V$1:$V$15,MATCH(LARGE(Numbers!$W$1:$W$15,ROW()-3),Numbers!$W$1:$W$15,0))</f>
        <v>38</v>
      </c>
      <c r="E13" s="29">
        <f ca="1">INDEX(Numbers!$Y$1:$Y$15,MATCH(LARGE(Numbers!$Z$1:$Z$15,ROW()-3),Numbers!$Z$1:$Z$15,0))</f>
        <v>48</v>
      </c>
      <c r="F13" s="29">
        <f ca="1">INDEX(Numbers!$AB$1:$AB$15,MATCH(LARGE(Numbers!$AC$1:$AC$15,ROW()-3),Numbers!$AC$1:$AC$15,0))</f>
        <v>74</v>
      </c>
      <c r="G13" s="29"/>
      <c r="H13" s="29">
        <f ca="1">INDEX(Numbers!$P$15:$P$35,MATCH(LARGE(Numbers!$Q$15:$Q$35,ROW()-3),Numbers!$Q$15:$Q$35,0))</f>
        <v>4</v>
      </c>
      <c r="I13" s="29">
        <f ca="1">INDEX(Numbers!$S$15:$S$35,MATCH(LARGE(Numbers!$T$15:$T$35,ROW()-3),Numbers!$T$15:$T$35,0))</f>
        <v>27</v>
      </c>
      <c r="J13" s="29">
        <f ca="1">INDEX(Numbers!$V$15:$V$35,MATCH(LARGE(Numbers!$W$15:$W$35,ROW()-3),Numbers!$W$15:$W$35,0))</f>
        <v>41</v>
      </c>
      <c r="K13" s="29">
        <f ca="1">INDEX(Numbers!$Y$15:$Y$35,MATCH(LARGE(Numbers!$Z$15:$Z$35,ROW()-3),Numbers!$Z$15:$Z$35,0))</f>
        <v>60</v>
      </c>
      <c r="L13" s="29">
        <f ca="1">INDEX(Numbers!$AB$15:$AB$35,MATCH(LARGE(Numbers!$AC$15:$AC$35,ROW()-3),Numbers!$AC$15:$AC$35,0))</f>
        <v>62</v>
      </c>
      <c r="O13" s="31"/>
      <c r="P13" s="31"/>
      <c r="Q13" s="31"/>
      <c r="R13" s="31"/>
      <c r="S13" s="31"/>
      <c r="T13" s="31"/>
      <c r="U13" s="31"/>
      <c r="V13" s="31"/>
      <c r="W13" s="31"/>
      <c r="X13" s="31"/>
      <c r="Y13" s="31"/>
      <c r="Z13" s="31"/>
      <c r="AA13" s="31"/>
      <c r="AB13" s="31"/>
      <c r="AC13" s="31"/>
      <c r="AD13" s="31"/>
      <c r="AE13" s="31"/>
      <c r="AF13" s="31"/>
      <c r="AG13" s="31"/>
      <c r="AH13" s="31"/>
      <c r="AS13"/>
      <c r="BA13"/>
    </row>
    <row r="14" spans="2:89" ht="19.5" customHeight="1"/>
    <row r="15" spans="2:89" s="1" customFormat="1" ht="60" customHeight="1">
      <c r="B15" s="27" t="s">
        <v>0</v>
      </c>
      <c r="C15" s="27" t="s">
        <v>1</v>
      </c>
      <c r="D15" s="27" t="s">
        <v>2</v>
      </c>
      <c r="E15" s="27" t="s">
        <v>3</v>
      </c>
      <c r="F15" s="27" t="s">
        <v>4</v>
      </c>
      <c r="G15" s="28"/>
      <c r="H15" s="27" t="s">
        <v>0</v>
      </c>
      <c r="I15" s="27" t="s">
        <v>1</v>
      </c>
      <c r="J15" s="27" t="s">
        <v>2</v>
      </c>
      <c r="K15" s="27" t="s">
        <v>3</v>
      </c>
      <c r="L15" s="27" t="s">
        <v>4</v>
      </c>
      <c r="O15" s="35" t="s">
        <v>46</v>
      </c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C15" s="34"/>
      <c r="AD15" s="34"/>
      <c r="AE15" s="34"/>
      <c r="AF15" s="34"/>
      <c r="AG15" s="34"/>
      <c r="AH15" s="34"/>
      <c r="AS15"/>
      <c r="BA15"/>
    </row>
    <row r="16" spans="2:89" s="1" customFormat="1" ht="60" customHeight="1">
      <c r="B16" s="29">
        <f ca="1">INDEX(Numbers!$AE$1:$AE$15,MATCH(LARGE(Numbers!$AF$1:$AF$15,ROW()-5),Numbers!$AF$1:$AF$15,0))</f>
        <v>15</v>
      </c>
      <c r="C16" s="29">
        <f ca="1">INDEX(Numbers!$AH$1:$AH$15,MATCH(LARGE(Numbers!$AI$1:$AI$15,ROW()-5),Numbers!$AI$1:$AI$15,0))</f>
        <v>16</v>
      </c>
      <c r="D16" s="29">
        <f ca="1">INDEX(Numbers!$AK$1:$AK$15,MATCH(LARGE(Numbers!$AL$1:$AL$15,ROW()-5),Numbers!$AL$1:$AL$15,0))</f>
        <v>31</v>
      </c>
      <c r="E16" s="29">
        <f ca="1">INDEX(Numbers!$AN$1:$AN$15,MATCH(LARGE(Numbers!$AO$1:$AO$15,ROW()-5),Numbers!$AO$1:$AO$15,0))</f>
        <v>47</v>
      </c>
      <c r="F16" s="29">
        <f ca="1">INDEX(Numbers!$AQ$1:$AQ$15,MATCH(LARGE(Numbers!$AR$1:$AR$15,ROW()-5),Numbers!$AR$1:$AR$15,0))</f>
        <v>62</v>
      </c>
      <c r="G16" s="29"/>
      <c r="H16" s="29">
        <f ca="1">INDEX(Numbers!$AE$15:$AE$35,MATCH(LARGE(Numbers!$AF$15:$AF$35,ROW()-5),Numbers!$AF$15:$AF$35,0))</f>
        <v>14</v>
      </c>
      <c r="I16" s="29">
        <f ca="1">INDEX(Numbers!$AH$15:$AH$35,MATCH(LARGE(Numbers!$AI$15:$AI$35,ROW()-5),Numbers!$AI$15:$AI$35,0))</f>
        <v>26</v>
      </c>
      <c r="J16" s="29">
        <f ca="1">INDEX(Numbers!$AK$15:$AK$35,MATCH(LARGE(Numbers!$AL$15:$AL$35,ROW()-5),Numbers!$AL$15:$AL$35,0))</f>
        <v>45</v>
      </c>
      <c r="K16" s="29">
        <f ca="1">INDEX(Numbers!$AN$15:$AN$35,MATCH(LARGE(Numbers!$AO$15:$AO$35,ROW()-5),Numbers!$AO$15:$AO$35,0))</f>
        <v>57</v>
      </c>
      <c r="L16" s="29">
        <f ca="1">INDEX(Numbers!$AQ$15:$AQ$35,MATCH(LARGE(Numbers!$AR$15:$AR$35,ROW()-5),Numbers!$AR$15:$AR$35,0))</f>
        <v>69</v>
      </c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D16" s="34"/>
      <c r="AE16" s="34"/>
      <c r="AF16" s="34"/>
      <c r="AG16" s="34"/>
      <c r="AH16" s="34"/>
      <c r="AS16"/>
      <c r="BA16"/>
    </row>
    <row r="17" spans="2:53" s="1" customFormat="1" ht="60" customHeight="1">
      <c r="B17" s="29">
        <f ca="1">INDEX(Numbers!$AE$1:$AE$15,MATCH(LARGE(Numbers!$AF$1:$AF$15,ROW()-5),Numbers!$AF$1:$AF$15,0))</f>
        <v>5</v>
      </c>
      <c r="C17" s="29">
        <f ca="1">INDEX(Numbers!$AH$1:$AH$15,MATCH(LARGE(Numbers!$AI$1:$AI$15,ROW()-5),Numbers!$AI$1:$AI$15,0))</f>
        <v>23</v>
      </c>
      <c r="D17" s="29">
        <f ca="1">INDEX(Numbers!$AK$1:$AK$15,MATCH(LARGE(Numbers!$AL$1:$AL$15,ROW()-5),Numbers!$AL$1:$AL$15,0))</f>
        <v>44</v>
      </c>
      <c r="E17" s="29">
        <f ca="1">INDEX(Numbers!$AN$1:$AN$15,MATCH(LARGE(Numbers!$AO$1:$AO$15,ROW()-5),Numbers!$AO$1:$AO$15,0))</f>
        <v>54</v>
      </c>
      <c r="F17" s="29">
        <f ca="1">INDEX(Numbers!$AQ$1:$AQ$15,MATCH(LARGE(Numbers!$AR$1:$AR$15,ROW()-5),Numbers!$AR$1:$AR$15,0))</f>
        <v>72</v>
      </c>
      <c r="G17" s="29"/>
      <c r="H17" s="29">
        <f ca="1">INDEX(Numbers!$AE$15:$AE$35,MATCH(LARGE(Numbers!$AF$15:$AF$35,ROW()-5),Numbers!$AF$15:$AF$35,0))</f>
        <v>13</v>
      </c>
      <c r="I17" s="29">
        <f ca="1">INDEX(Numbers!$AH$15:$AH$35,MATCH(LARGE(Numbers!$AI$15:$AI$35,ROW()-5),Numbers!$AI$15:$AI$35,0))</f>
        <v>24</v>
      </c>
      <c r="J17" s="29">
        <f ca="1">INDEX(Numbers!$AK$15:$AK$35,MATCH(LARGE(Numbers!$AL$15:$AL$35,ROW()-5),Numbers!$AL$15:$AL$35,0))</f>
        <v>39</v>
      </c>
      <c r="K17" s="29">
        <f ca="1">INDEX(Numbers!$AN$15:$AN$35,MATCH(LARGE(Numbers!$AO$15:$AO$35,ROW()-5),Numbers!$AO$15:$AO$35,0))</f>
        <v>47</v>
      </c>
      <c r="L17" s="29">
        <f ca="1">INDEX(Numbers!$AQ$15:$AQ$35,MATCH(LARGE(Numbers!$AR$15:$AR$35,ROW()-5),Numbers!$AR$15:$AR$35,0))</f>
        <v>64</v>
      </c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  <c r="AB17" s="34"/>
      <c r="AC17" s="34"/>
      <c r="AD17" s="34"/>
      <c r="AE17" s="34"/>
      <c r="AF17" s="34"/>
      <c r="AG17" s="34"/>
      <c r="AH17" s="34"/>
      <c r="AS17"/>
      <c r="BA17"/>
    </row>
    <row r="18" spans="2:53" s="1" customFormat="1" ht="60" customHeight="1">
      <c r="B18" s="29">
        <f ca="1">INDEX(Numbers!$AE$1:$AE$15,MATCH(LARGE(Numbers!$AF$1:$AF$15,ROW()-5),Numbers!$AF$1:$AF$15,0))</f>
        <v>4</v>
      </c>
      <c r="C18" s="29">
        <f ca="1">INDEX(Numbers!$AH$1:$AH$15,MATCH(LARGE(Numbers!$AI$1:$AI$15,ROW()-5),Numbers!$AI$1:$AI$15,0))</f>
        <v>22</v>
      </c>
      <c r="D18" s="29" t="s">
        <v>45</v>
      </c>
      <c r="E18" s="29">
        <f ca="1">INDEX(Numbers!$AN$1:$AN$15,MATCH(LARGE(Numbers!$AO$1:$AO$15,ROW()-5),Numbers!$AO$1:$AO$15,0))</f>
        <v>50</v>
      </c>
      <c r="F18" s="29">
        <f ca="1">INDEX(Numbers!$AQ$1:$AQ$15,MATCH(LARGE(Numbers!$AR$1:$AR$15,ROW()-5),Numbers!$AR$1:$AR$15,0))</f>
        <v>75</v>
      </c>
      <c r="G18" s="29"/>
      <c r="H18" s="29">
        <f ca="1">INDEX(Numbers!$AE$15:$AE$35,MATCH(LARGE(Numbers!$AF$15:$AF$35,ROW()-5),Numbers!$AF$15:$AF$35,0))</f>
        <v>15</v>
      </c>
      <c r="I18" s="29">
        <f ca="1">INDEX(Numbers!$AH$15:$AH$35,MATCH(LARGE(Numbers!$AI$15:$AI$35,ROW()-5),Numbers!$AI$15:$AI$35,0))</f>
        <v>21</v>
      </c>
      <c r="J18" s="29" t="s">
        <v>45</v>
      </c>
      <c r="K18" s="29">
        <f ca="1">INDEX(Numbers!$AN$15:$AN$35,MATCH(LARGE(Numbers!$AO$15:$AO$35,ROW()-5),Numbers!$AO$15:$AO$35,0))</f>
        <v>55</v>
      </c>
      <c r="L18" s="29">
        <f ca="1">INDEX(Numbers!$AQ$15:$AQ$35,MATCH(LARGE(Numbers!$AR$15:$AR$35,ROW()-5),Numbers!$AR$15:$AR$35,0))</f>
        <v>72</v>
      </c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D18" s="34"/>
      <c r="AE18" s="34"/>
      <c r="AF18" s="34"/>
      <c r="AG18" s="34"/>
      <c r="AH18" s="34"/>
      <c r="AS18"/>
      <c r="BA18"/>
    </row>
    <row r="19" spans="2:53" s="1" customFormat="1" ht="60" customHeight="1">
      <c r="B19" s="29">
        <f ca="1">INDEX(Numbers!$AE$1:$AE$15,MATCH(LARGE(Numbers!$AF$1:$AF$15,ROW()-5),Numbers!$AF$1:$AF$15,0))</f>
        <v>3</v>
      </c>
      <c r="C19" s="29">
        <f ca="1">INDEX(Numbers!$AH$1:$AH$15,MATCH(LARGE(Numbers!$AI$1:$AI$15,ROW()-5),Numbers!$AI$1:$AI$15,0))</f>
        <v>25</v>
      </c>
      <c r="D19" s="29">
        <f ca="1">INDEX(Numbers!$AK$1:$AK$15,MATCH(LARGE(Numbers!$AL$1:$AL$15,ROW()-5),Numbers!$AL$1:$AL$15,0))</f>
        <v>38</v>
      </c>
      <c r="E19" s="29">
        <f ca="1">INDEX(Numbers!$AN$1:$AN$15,MATCH(LARGE(Numbers!$AO$1:$AO$15,ROW()-5),Numbers!$AO$1:$AO$15,0))</f>
        <v>55</v>
      </c>
      <c r="F19" s="29">
        <f ca="1">INDEX(Numbers!$AQ$1:$AQ$15,MATCH(LARGE(Numbers!$AR$1:$AR$15,ROW()-5),Numbers!$AR$1:$AR$15,0))</f>
        <v>65</v>
      </c>
      <c r="G19" s="29"/>
      <c r="H19" s="29">
        <f ca="1">INDEX(Numbers!$AE$15:$AE$35,MATCH(LARGE(Numbers!$AF$15:$AF$35,ROW()-5),Numbers!$AF$15:$AF$35,0))</f>
        <v>9</v>
      </c>
      <c r="I19" s="29">
        <f ca="1">INDEX(Numbers!$AH$15:$AH$35,MATCH(LARGE(Numbers!$AI$15:$AI$35,ROW()-5),Numbers!$AI$15:$AI$35,0))</f>
        <v>17</v>
      </c>
      <c r="J19" s="29">
        <f ca="1">INDEX(Numbers!$AK$15:$AK$35,MATCH(LARGE(Numbers!$AL$15:$AL$35,ROW()-5),Numbers!$AL$15:$AL$35,0))</f>
        <v>35</v>
      </c>
      <c r="K19" s="29">
        <f ca="1">INDEX(Numbers!$AN$15:$AN$35,MATCH(LARGE(Numbers!$AO$15:$AO$35,ROW()-5),Numbers!$AO$15:$AO$35,0))</f>
        <v>51</v>
      </c>
      <c r="L19" s="29">
        <f ca="1">INDEX(Numbers!$AQ$15:$AQ$35,MATCH(LARGE(Numbers!$AR$15:$AR$35,ROW()-5),Numbers!$AR$15:$AR$35,0))</f>
        <v>71</v>
      </c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S19"/>
      <c r="BA19"/>
    </row>
    <row r="20" spans="2:53" s="1" customFormat="1" ht="60" customHeight="1">
      <c r="B20" s="29">
        <f ca="1">INDEX(Numbers!$AE$1:$AE$15,MATCH(LARGE(Numbers!$AF$1:$AF$15,ROW()-5),Numbers!$AF$1:$AF$15,0))</f>
        <v>14</v>
      </c>
      <c r="C20" s="29">
        <f ca="1">INDEX(Numbers!$AH$1:$AH$15,MATCH(LARGE(Numbers!$AI$1:$AI$15,ROW()-5),Numbers!$AI$1:$AI$15,0))</f>
        <v>21</v>
      </c>
      <c r="D20" s="29">
        <f ca="1">INDEX(Numbers!$AK$1:$AK$15,MATCH(LARGE(Numbers!$AL$1:$AL$15,ROW()-5),Numbers!$AL$1:$AL$15,0))</f>
        <v>33</v>
      </c>
      <c r="E20" s="29">
        <f ca="1">INDEX(Numbers!$AN$1:$AN$15,MATCH(LARGE(Numbers!$AO$1:$AO$15,ROW()-5),Numbers!$AO$1:$AO$15,0))</f>
        <v>58</v>
      </c>
      <c r="F20" s="29">
        <f ca="1">INDEX(Numbers!$AQ$1:$AQ$15,MATCH(LARGE(Numbers!$AR$1:$AR$15,ROW()-5),Numbers!$AR$1:$AR$15,0))</f>
        <v>73</v>
      </c>
      <c r="G20" s="29"/>
      <c r="H20" s="29">
        <f ca="1">INDEX(Numbers!$AE$15:$AE$35,MATCH(LARGE(Numbers!$AF$15:$AF$35,ROW()-5),Numbers!$AF$15:$AF$35,0))</f>
        <v>2</v>
      </c>
      <c r="I20" s="29">
        <f ca="1">INDEX(Numbers!$AH$15:$AH$35,MATCH(LARGE(Numbers!$AI$15:$AI$35,ROW()-5),Numbers!$AI$15:$AI$35,0))</f>
        <v>25</v>
      </c>
      <c r="J20" s="29">
        <f ca="1">INDEX(Numbers!$AK$15:$AK$35,MATCH(LARGE(Numbers!$AL$15:$AL$35,ROW()-5),Numbers!$AL$15:$AL$35,0))</f>
        <v>36</v>
      </c>
      <c r="K20" s="29">
        <f ca="1">INDEX(Numbers!$AN$15:$AN$35,MATCH(LARGE(Numbers!$AO$15:$AO$35,ROW()-5),Numbers!$AO$15:$AO$35,0))</f>
        <v>58</v>
      </c>
      <c r="L20" s="29">
        <f ca="1">INDEX(Numbers!$AQ$15:$AQ$35,MATCH(LARGE(Numbers!$AR$15:$AR$35,ROW()-5),Numbers!$AR$15:$AR$35,0))</f>
        <v>63</v>
      </c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S20"/>
      <c r="BA20"/>
    </row>
    <row r="21" spans="2:53" ht="28.5" customHeight="1"/>
  </sheetData>
  <mergeCells count="4">
    <mergeCell ref="O5:AH13"/>
    <mergeCell ref="O4:P4"/>
    <mergeCell ref="Q4:R4"/>
    <mergeCell ref="O15:AH20"/>
  </mergeCells>
  <phoneticPr fontId="2" type="noConversion"/>
  <conditionalFormatting sqref="B2:L20">
    <cfRule type="expression" dxfId="27" priority="4" stopIfTrue="1">
      <formula>HLOOKUP(B2,$O$2:$DQ$2,1,FALSE)</formula>
    </cfRule>
  </conditionalFormatting>
  <pageMargins left="0.75" right="0.75" top="1" bottom="1" header="0.5" footer="0.5"/>
  <pageSetup scale="66" orientation="portrait" r:id="rId1"/>
  <headerFooter alignWithMargins="0">
    <oddFooter>&amp;Lwww.contextures.com&amp;RContextures Inc., Copyright © 2009. All rights reserved.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R35"/>
  <sheetViews>
    <sheetView zoomScale="90" zoomScaleNormal="90" workbookViewId="0">
      <selection activeCell="AW26" sqref="AW26"/>
    </sheetView>
  </sheetViews>
  <sheetFormatPr defaultRowHeight="16.5"/>
  <cols>
    <col min="1" max="1" width="3" bestFit="1" customWidth="1"/>
    <col min="2" max="2" width="5.85546875" customWidth="1"/>
    <col min="3" max="3" width="1.5703125" customWidth="1"/>
    <col min="4" max="4" width="3" bestFit="1" customWidth="1"/>
    <col min="5" max="5" width="5.85546875" customWidth="1"/>
    <col min="6" max="6" width="1.7109375" customWidth="1"/>
    <col min="7" max="7" width="3" bestFit="1" customWidth="1"/>
    <col min="8" max="8" width="5.85546875" customWidth="1"/>
    <col min="9" max="9" width="1.7109375" customWidth="1"/>
    <col min="10" max="10" width="3" bestFit="1" customWidth="1"/>
    <col min="11" max="11" width="5.85546875" customWidth="1"/>
    <col min="12" max="12" width="1.7109375" customWidth="1"/>
    <col min="13" max="13" width="3" bestFit="1" customWidth="1"/>
    <col min="14" max="14" width="5.85546875" customWidth="1"/>
    <col min="15" max="15" width="2.85546875" customWidth="1"/>
    <col min="16" max="16" width="3" bestFit="1" customWidth="1"/>
    <col min="17" max="17" width="5.85546875" customWidth="1"/>
    <col min="18" max="18" width="1.5703125" customWidth="1"/>
    <col min="19" max="19" width="3" bestFit="1" customWidth="1"/>
    <col min="20" max="20" width="5.85546875" customWidth="1"/>
    <col min="21" max="21" width="1.7109375" customWidth="1"/>
    <col min="22" max="22" width="3" bestFit="1" customWidth="1"/>
    <col min="23" max="23" width="5.85546875" customWidth="1"/>
    <col min="24" max="24" width="1.7109375" customWidth="1"/>
    <col min="25" max="25" width="3" bestFit="1" customWidth="1"/>
    <col min="26" max="26" width="5.85546875" customWidth="1"/>
    <col min="27" max="27" width="1.7109375" customWidth="1"/>
    <col min="28" max="28" width="3" bestFit="1" customWidth="1"/>
    <col min="29" max="29" width="5.85546875" customWidth="1"/>
    <col min="30" max="30" width="2.85546875" customWidth="1"/>
    <col min="31" max="31" width="3" bestFit="1" customWidth="1"/>
    <col min="32" max="32" width="5.85546875" customWidth="1"/>
    <col min="33" max="33" width="1.5703125" customWidth="1"/>
    <col min="34" max="34" width="3" bestFit="1" customWidth="1"/>
    <col min="35" max="35" width="5.85546875" customWidth="1"/>
    <col min="36" max="36" width="1.7109375" customWidth="1"/>
    <col min="37" max="37" width="3" bestFit="1" customWidth="1"/>
    <col min="38" max="38" width="5.85546875" customWidth="1"/>
    <col min="39" max="39" width="1.7109375" customWidth="1"/>
    <col min="40" max="40" width="3" bestFit="1" customWidth="1"/>
    <col min="41" max="41" width="5.85546875" customWidth="1"/>
    <col min="42" max="42" width="1.7109375" customWidth="1"/>
    <col min="43" max="43" width="3" bestFit="1" customWidth="1"/>
    <col min="44" max="44" width="5.85546875" customWidth="1"/>
    <col min="46" max="47" width="3.85546875" customWidth="1"/>
    <col min="48" max="48" width="1.42578125" customWidth="1"/>
    <col min="49" max="50" width="3.85546875" customWidth="1"/>
    <col min="51" max="51" width="1.5703125" customWidth="1"/>
    <col min="52" max="53" width="3.85546875" customWidth="1"/>
    <col min="54" max="54" width="0.85546875" customWidth="1"/>
    <col min="55" max="56" width="3.85546875" customWidth="1"/>
    <col min="57" max="57" width="1.28515625" customWidth="1"/>
    <col min="58" max="59" width="3.85546875" customWidth="1"/>
    <col min="61" max="62" width="3.7109375" customWidth="1"/>
    <col min="63" max="63" width="1.7109375" customWidth="1"/>
    <col min="64" max="65" width="3.7109375" customWidth="1"/>
    <col min="66" max="66" width="1.7109375" customWidth="1"/>
    <col min="67" max="68" width="3.7109375" customWidth="1"/>
    <col min="69" max="69" width="1.42578125" customWidth="1"/>
    <col min="70" max="71" width="3.7109375" customWidth="1"/>
    <col min="72" max="72" width="1.28515625" customWidth="1"/>
    <col min="73" max="74" width="3.7109375" customWidth="1"/>
    <col min="76" max="77" width="4.42578125" customWidth="1"/>
    <col min="78" max="78" width="1.42578125" customWidth="1"/>
    <col min="79" max="80" width="4.42578125" customWidth="1"/>
    <col min="81" max="81" width="1.42578125" customWidth="1"/>
    <col min="82" max="83" width="4.42578125" customWidth="1"/>
    <col min="84" max="84" width="1.5703125" customWidth="1"/>
    <col min="85" max="86" width="4.42578125" customWidth="1"/>
    <col min="87" max="87" width="1.7109375" customWidth="1"/>
    <col min="88" max="89" width="4.42578125" customWidth="1"/>
  </cols>
  <sheetData>
    <row r="1" spans="1:44">
      <c r="A1" s="12">
        <v>1</v>
      </c>
      <c r="B1" s="6">
        <f t="shared" ref="B1:B15" ca="1" si="0">RAND()</f>
        <v>0.45624144566336255</v>
      </c>
      <c r="C1" s="6"/>
      <c r="D1" s="15">
        <v>16</v>
      </c>
      <c r="E1" s="6">
        <f t="shared" ref="E1:E15" ca="1" si="1">RAND()</f>
        <v>0.57329619138993337</v>
      </c>
      <c r="F1" s="6"/>
      <c r="G1" s="15">
        <v>31</v>
      </c>
      <c r="H1" s="6">
        <f t="shared" ref="H1:H15" ca="1" si="2">RAND()</f>
        <v>0.86329434928471571</v>
      </c>
      <c r="I1" s="6"/>
      <c r="J1" s="15">
        <v>46</v>
      </c>
      <c r="K1" s="6">
        <f t="shared" ref="K1:K15" ca="1" si="3">RAND()</f>
        <v>0.95738671821648802</v>
      </c>
      <c r="L1" s="6"/>
      <c r="M1" s="15">
        <v>61</v>
      </c>
      <c r="N1" s="7">
        <f t="shared" ref="N1:N15" ca="1" si="4">RAND()</f>
        <v>8.6306506347557321E-2</v>
      </c>
      <c r="P1" s="12">
        <v>1</v>
      </c>
      <c r="Q1" s="6">
        <f t="shared" ref="Q1:Q15" ca="1" si="5">RAND()</f>
        <v>0.39665649368113642</v>
      </c>
      <c r="R1" s="6"/>
      <c r="S1" s="15">
        <v>16</v>
      </c>
      <c r="T1" s="6">
        <f t="shared" ref="T1:T15" ca="1" si="6">RAND()</f>
        <v>0.39445446512316495</v>
      </c>
      <c r="U1" s="6"/>
      <c r="V1" s="15">
        <v>31</v>
      </c>
      <c r="W1" s="6">
        <f t="shared" ref="W1:W15" ca="1" si="7">RAND()</f>
        <v>0.66321089151757717</v>
      </c>
      <c r="X1" s="6"/>
      <c r="Y1" s="15">
        <v>46</v>
      </c>
      <c r="Z1" s="6">
        <f t="shared" ref="Z1:Z15" ca="1" si="8">RAND()</f>
        <v>0.75543018960608177</v>
      </c>
      <c r="AA1" s="15"/>
      <c r="AB1" s="15">
        <v>61</v>
      </c>
      <c r="AC1" s="7">
        <f t="shared" ref="AC1:AC15" ca="1" si="9">RAND()</f>
        <v>0.3760420783077979</v>
      </c>
      <c r="AE1" s="12">
        <v>1</v>
      </c>
      <c r="AF1" s="6">
        <f t="shared" ref="AF1:AF15" ca="1" si="10">RAND()</f>
        <v>0.5616842854977091</v>
      </c>
      <c r="AG1" s="6"/>
      <c r="AH1" s="15">
        <v>16</v>
      </c>
      <c r="AI1" s="6">
        <f t="shared" ref="AI1:AI15" ca="1" si="11">RAND()</f>
        <v>0.29304511992700488</v>
      </c>
      <c r="AJ1" s="6"/>
      <c r="AK1" s="15">
        <v>31</v>
      </c>
      <c r="AL1" s="6">
        <f t="shared" ref="AL1:AL15" ca="1" si="12">RAND()</f>
        <v>0.46454808646106149</v>
      </c>
      <c r="AM1" s="6"/>
      <c r="AN1" s="15">
        <v>46</v>
      </c>
      <c r="AO1" s="6">
        <f t="shared" ref="AO1:AO15" ca="1" si="13">RAND()</f>
        <v>0.61250009543944095</v>
      </c>
      <c r="AP1" s="6"/>
      <c r="AQ1" s="15">
        <v>61</v>
      </c>
      <c r="AR1" s="7">
        <f t="shared" ref="AR1:AR15" ca="1" si="14">RAND()</f>
        <v>0.89601595389230004</v>
      </c>
    </row>
    <row r="2" spans="1:44">
      <c r="A2" s="13">
        <v>2</v>
      </c>
      <c r="B2" s="8">
        <f t="shared" ca="1" si="0"/>
        <v>0.5066269307959772</v>
      </c>
      <c r="C2" s="8"/>
      <c r="D2" s="16">
        <v>17</v>
      </c>
      <c r="E2" s="8">
        <f t="shared" ca="1" si="1"/>
        <v>0.92106967441003307</v>
      </c>
      <c r="F2" s="8"/>
      <c r="G2" s="16">
        <v>32</v>
      </c>
      <c r="H2" s="8">
        <f t="shared" ca="1" si="2"/>
        <v>0.47776456373447507</v>
      </c>
      <c r="I2" s="8"/>
      <c r="J2" s="16">
        <v>47</v>
      </c>
      <c r="K2" s="8">
        <f t="shared" ca="1" si="3"/>
        <v>0.24546467601332145</v>
      </c>
      <c r="L2" s="8"/>
      <c r="M2" s="16">
        <v>62</v>
      </c>
      <c r="N2" s="9">
        <f t="shared" ca="1" si="4"/>
        <v>0.16118242093318658</v>
      </c>
      <c r="P2" s="13">
        <v>2</v>
      </c>
      <c r="Q2" s="8">
        <f t="shared" ca="1" si="5"/>
        <v>0.41020266229419988</v>
      </c>
      <c r="R2" s="8"/>
      <c r="S2" s="16">
        <v>17</v>
      </c>
      <c r="T2" s="8">
        <f t="shared" ca="1" si="6"/>
        <v>0.15017915118079805</v>
      </c>
      <c r="U2" s="8"/>
      <c r="V2" s="16">
        <v>32</v>
      </c>
      <c r="W2" s="8">
        <f t="shared" ca="1" si="7"/>
        <v>0.59360143795572495</v>
      </c>
      <c r="X2" s="8"/>
      <c r="Y2" s="16">
        <v>47</v>
      </c>
      <c r="Z2" s="8">
        <f t="shared" ca="1" si="8"/>
        <v>0.20748746696715692</v>
      </c>
      <c r="AA2" s="16"/>
      <c r="AB2" s="16">
        <v>62</v>
      </c>
      <c r="AC2" s="9">
        <f t="shared" ca="1" si="9"/>
        <v>0.70941991374115965</v>
      </c>
      <c r="AE2" s="13">
        <v>2</v>
      </c>
      <c r="AF2" s="8">
        <f t="shared" ca="1" si="10"/>
        <v>0.8713832047270712</v>
      </c>
      <c r="AG2" s="8"/>
      <c r="AH2" s="16">
        <v>17</v>
      </c>
      <c r="AI2" s="8">
        <f t="shared" ca="1" si="11"/>
        <v>0.63088179902697006</v>
      </c>
      <c r="AJ2" s="8"/>
      <c r="AK2" s="16">
        <v>32</v>
      </c>
      <c r="AL2" s="8">
        <f t="shared" ca="1" si="12"/>
        <v>0.77873561690478366</v>
      </c>
      <c r="AM2" s="8"/>
      <c r="AN2" s="16">
        <v>47</v>
      </c>
      <c r="AO2" s="8">
        <f t="shared" ca="1" si="13"/>
        <v>0.21755500924579407</v>
      </c>
      <c r="AP2" s="8"/>
      <c r="AQ2" s="16">
        <v>62</v>
      </c>
      <c r="AR2" s="9">
        <f t="shared" ca="1" si="14"/>
        <v>0.35937041826570526</v>
      </c>
    </row>
    <row r="3" spans="1:44">
      <c r="A3" s="13">
        <v>3</v>
      </c>
      <c r="B3" s="8">
        <f t="shared" ca="1" si="0"/>
        <v>0.81349203537632986</v>
      </c>
      <c r="C3" s="8"/>
      <c r="D3" s="16">
        <v>18</v>
      </c>
      <c r="E3" s="8">
        <f t="shared" ca="1" si="1"/>
        <v>0.4019463931279238</v>
      </c>
      <c r="F3" s="8"/>
      <c r="G3" s="16">
        <v>33</v>
      </c>
      <c r="H3" s="8">
        <f t="shared" ca="1" si="2"/>
        <v>0.91014434529230182</v>
      </c>
      <c r="I3" s="8"/>
      <c r="J3" s="16">
        <v>48</v>
      </c>
      <c r="K3" s="8">
        <f t="shared" ca="1" si="3"/>
        <v>0.63057737133169867</v>
      </c>
      <c r="L3" s="8"/>
      <c r="M3" s="16">
        <v>63</v>
      </c>
      <c r="N3" s="9">
        <f t="shared" ca="1" si="4"/>
        <v>0.84824235856945451</v>
      </c>
      <c r="P3" s="13">
        <v>3</v>
      </c>
      <c r="Q3" s="8">
        <f t="shared" ca="1" si="5"/>
        <v>0.94502673728779796</v>
      </c>
      <c r="R3" s="8"/>
      <c r="S3" s="16">
        <v>18</v>
      </c>
      <c r="T3" s="8">
        <f t="shared" ca="1" si="6"/>
        <v>0.56735717795369323</v>
      </c>
      <c r="U3" s="8"/>
      <c r="V3" s="16">
        <v>33</v>
      </c>
      <c r="W3" s="8">
        <f t="shared" ca="1" si="7"/>
        <v>0.78900186875618172</v>
      </c>
      <c r="X3" s="8"/>
      <c r="Y3" s="16">
        <v>48</v>
      </c>
      <c r="Z3" s="8">
        <f t="shared" ca="1" si="8"/>
        <v>0.61661993070567778</v>
      </c>
      <c r="AA3" s="16"/>
      <c r="AB3" s="16">
        <v>63</v>
      </c>
      <c r="AC3" s="9">
        <f t="shared" ca="1" si="9"/>
        <v>0.45841794442114536</v>
      </c>
      <c r="AE3" s="13">
        <v>3</v>
      </c>
      <c r="AF3" s="8">
        <f t="shared" ca="1" si="10"/>
        <v>0.35207734643063338</v>
      </c>
      <c r="AG3" s="8"/>
      <c r="AH3" s="16">
        <v>18</v>
      </c>
      <c r="AI3" s="8">
        <f t="shared" ca="1" si="11"/>
        <v>0.55245372207570109</v>
      </c>
      <c r="AJ3" s="8"/>
      <c r="AK3" s="16">
        <v>33</v>
      </c>
      <c r="AL3" s="8">
        <f t="shared" ca="1" si="12"/>
        <v>2.6626045926361419E-2</v>
      </c>
      <c r="AM3" s="8"/>
      <c r="AN3" s="16">
        <v>48</v>
      </c>
      <c r="AO3" s="8">
        <f t="shared" ca="1" si="13"/>
        <v>0.3870172037795121</v>
      </c>
      <c r="AP3" s="8"/>
      <c r="AQ3" s="16">
        <v>63</v>
      </c>
      <c r="AR3" s="9">
        <f t="shared" ca="1" si="14"/>
        <v>0.63862252536158737</v>
      </c>
    </row>
    <row r="4" spans="1:44">
      <c r="A4" s="13">
        <v>4</v>
      </c>
      <c r="B4" s="8">
        <f t="shared" ca="1" si="0"/>
        <v>0.66848518121492972</v>
      </c>
      <c r="C4" s="8"/>
      <c r="D4" s="16">
        <v>19</v>
      </c>
      <c r="E4" s="8">
        <f t="shared" ca="1" si="1"/>
        <v>0.9987491382245155</v>
      </c>
      <c r="F4" s="8"/>
      <c r="G4" s="16">
        <v>34</v>
      </c>
      <c r="H4" s="8">
        <f t="shared" ca="1" si="2"/>
        <v>0.97306490721405625</v>
      </c>
      <c r="I4" s="8"/>
      <c r="J4" s="16">
        <v>49</v>
      </c>
      <c r="K4" s="8">
        <f t="shared" ca="1" si="3"/>
        <v>8.4921972394809586E-2</v>
      </c>
      <c r="L4" s="8"/>
      <c r="M4" s="16">
        <v>64</v>
      </c>
      <c r="N4" s="9">
        <f t="shared" ca="1" si="4"/>
        <v>0.29917563315857698</v>
      </c>
      <c r="P4" s="13">
        <v>4</v>
      </c>
      <c r="Q4" s="8">
        <f t="shared" ca="1" si="5"/>
        <v>0.92475669065293375</v>
      </c>
      <c r="R4" s="8"/>
      <c r="S4" s="16">
        <v>19</v>
      </c>
      <c r="T4" s="8">
        <f t="shared" ca="1" si="6"/>
        <v>0.16507638245845391</v>
      </c>
      <c r="U4" s="8"/>
      <c r="V4" s="16">
        <v>34</v>
      </c>
      <c r="W4" s="8">
        <f t="shared" ca="1" si="7"/>
        <v>9.7001546593783461E-2</v>
      </c>
      <c r="X4" s="8"/>
      <c r="Y4" s="16">
        <v>49</v>
      </c>
      <c r="Z4" s="8">
        <f t="shared" ca="1" si="8"/>
        <v>0.82307780900607497</v>
      </c>
      <c r="AA4" s="16"/>
      <c r="AB4" s="16">
        <v>64</v>
      </c>
      <c r="AC4" s="9">
        <f t="shared" ca="1" si="9"/>
        <v>0.37344794238135737</v>
      </c>
      <c r="AE4" s="13">
        <v>4</v>
      </c>
      <c r="AF4" s="8">
        <f t="shared" ca="1" si="10"/>
        <v>0.40264936382602323</v>
      </c>
      <c r="AG4" s="8"/>
      <c r="AH4" s="16">
        <v>19</v>
      </c>
      <c r="AI4" s="8">
        <f t="shared" ca="1" si="11"/>
        <v>0.44764815787440804</v>
      </c>
      <c r="AJ4" s="8"/>
      <c r="AK4" s="16">
        <v>34</v>
      </c>
      <c r="AL4" s="8">
        <f t="shared" ca="1" si="12"/>
        <v>0.64141804625588184</v>
      </c>
      <c r="AM4" s="8"/>
      <c r="AN4" s="16">
        <v>49</v>
      </c>
      <c r="AO4" s="8">
        <f t="shared" ca="1" si="13"/>
        <v>0.80211080169247817</v>
      </c>
      <c r="AP4" s="8"/>
      <c r="AQ4" s="16">
        <v>64</v>
      </c>
      <c r="AR4" s="9">
        <f t="shared" ca="1" si="14"/>
        <v>0.6513176569641701</v>
      </c>
    </row>
    <row r="5" spans="1:44">
      <c r="A5" s="13">
        <v>5</v>
      </c>
      <c r="B5" s="8">
        <f t="shared" ca="1" si="0"/>
        <v>0.29329029841021126</v>
      </c>
      <c r="C5" s="8"/>
      <c r="D5" s="16">
        <v>20</v>
      </c>
      <c r="E5" s="8">
        <f t="shared" ca="1" si="1"/>
        <v>0.67474012148599505</v>
      </c>
      <c r="F5" s="8"/>
      <c r="G5" s="16">
        <v>35</v>
      </c>
      <c r="H5" s="8">
        <f t="shared" ca="1" si="2"/>
        <v>6.7957629311086287E-2</v>
      </c>
      <c r="I5" s="8"/>
      <c r="J5" s="16">
        <v>50</v>
      </c>
      <c r="K5" s="8">
        <f t="shared" ca="1" si="3"/>
        <v>0.55718911778492997</v>
      </c>
      <c r="L5" s="8"/>
      <c r="M5" s="16">
        <v>65</v>
      </c>
      <c r="N5" s="9">
        <f t="shared" ca="1" si="4"/>
        <v>0.3201935894745902</v>
      </c>
      <c r="P5" s="13">
        <v>5</v>
      </c>
      <c r="Q5" s="8">
        <f t="shared" ca="1" si="5"/>
        <v>5.2211801873500274E-2</v>
      </c>
      <c r="R5" s="8"/>
      <c r="S5" s="16">
        <v>20</v>
      </c>
      <c r="T5" s="8">
        <f t="shared" ca="1" si="6"/>
        <v>8.0377429031308512E-2</v>
      </c>
      <c r="U5" s="8"/>
      <c r="V5" s="16">
        <v>35</v>
      </c>
      <c r="W5" s="8">
        <f t="shared" ca="1" si="7"/>
        <v>1.3489226409170163E-2</v>
      </c>
      <c r="X5" s="8"/>
      <c r="Y5" s="16">
        <v>50</v>
      </c>
      <c r="Z5" s="8">
        <f t="shared" ca="1" si="8"/>
        <v>0.75769642225758038</v>
      </c>
      <c r="AA5" s="16"/>
      <c r="AB5" s="16">
        <v>65</v>
      </c>
      <c r="AC5" s="9">
        <f t="shared" ca="1" si="9"/>
        <v>0.64541331434657523</v>
      </c>
      <c r="AE5" s="13">
        <v>5</v>
      </c>
      <c r="AF5" s="8">
        <f t="shared" ca="1" si="10"/>
        <v>0.41798994825110314</v>
      </c>
      <c r="AG5" s="8"/>
      <c r="AH5" s="16">
        <v>20</v>
      </c>
      <c r="AI5" s="8">
        <f t="shared" ca="1" si="11"/>
        <v>0.5875239381408347</v>
      </c>
      <c r="AJ5" s="8"/>
      <c r="AK5" s="16">
        <v>35</v>
      </c>
      <c r="AL5" s="8">
        <f t="shared" ca="1" si="12"/>
        <v>0.24794852280117541</v>
      </c>
      <c r="AM5" s="8"/>
      <c r="AN5" s="16">
        <v>50</v>
      </c>
      <c r="AO5" s="8">
        <f t="shared" ca="1" si="13"/>
        <v>0.18476734959111019</v>
      </c>
      <c r="AP5" s="8"/>
      <c r="AQ5" s="16">
        <v>65</v>
      </c>
      <c r="AR5" s="9">
        <f t="shared" ca="1" si="14"/>
        <v>0.28396953218872412</v>
      </c>
    </row>
    <row r="6" spans="1:44">
      <c r="A6" s="13">
        <v>6</v>
      </c>
      <c r="B6" s="8">
        <f t="shared" ca="1" si="0"/>
        <v>0.44970771443086555</v>
      </c>
      <c r="C6" s="8"/>
      <c r="D6" s="16">
        <v>21</v>
      </c>
      <c r="E6" s="8">
        <f t="shared" ca="1" si="1"/>
        <v>0.84779427553085751</v>
      </c>
      <c r="F6" s="8"/>
      <c r="G6" s="16">
        <v>36</v>
      </c>
      <c r="H6" s="8">
        <f t="shared" ca="1" si="2"/>
        <v>0.84723681632516601</v>
      </c>
      <c r="I6" s="8"/>
      <c r="J6" s="16">
        <v>51</v>
      </c>
      <c r="K6" s="8">
        <f t="shared" ca="1" si="3"/>
        <v>0.66141322607112407</v>
      </c>
      <c r="L6" s="8"/>
      <c r="M6" s="16">
        <v>66</v>
      </c>
      <c r="N6" s="9">
        <f t="shared" ca="1" si="4"/>
        <v>0.43037778300864682</v>
      </c>
      <c r="P6" s="13">
        <v>6</v>
      </c>
      <c r="Q6" s="8">
        <f t="shared" ca="1" si="5"/>
        <v>0.81956965881143429</v>
      </c>
      <c r="R6" s="8"/>
      <c r="S6" s="16">
        <v>21</v>
      </c>
      <c r="T6" s="8">
        <f t="shared" ca="1" si="6"/>
        <v>0.72001668393325879</v>
      </c>
      <c r="U6" s="8"/>
      <c r="V6" s="16">
        <v>36</v>
      </c>
      <c r="W6" s="8">
        <f t="shared" ca="1" si="7"/>
        <v>0.22112251351151735</v>
      </c>
      <c r="X6" s="8"/>
      <c r="Y6" s="16">
        <v>51</v>
      </c>
      <c r="Z6" s="8">
        <f t="shared" ca="1" si="8"/>
        <v>0.71534812377834933</v>
      </c>
      <c r="AA6" s="16"/>
      <c r="AB6" s="16">
        <v>66</v>
      </c>
      <c r="AC6" s="9">
        <f t="shared" ca="1" si="9"/>
        <v>0.64315733657545826</v>
      </c>
      <c r="AE6" s="13">
        <v>6</v>
      </c>
      <c r="AF6" s="8">
        <f t="shared" ca="1" si="10"/>
        <v>0.93379073874653329</v>
      </c>
      <c r="AG6" s="8"/>
      <c r="AH6" s="16">
        <v>21</v>
      </c>
      <c r="AI6" s="8">
        <f t="shared" ca="1" si="11"/>
        <v>7.5830555133615696E-2</v>
      </c>
      <c r="AJ6" s="8"/>
      <c r="AK6" s="16">
        <v>36</v>
      </c>
      <c r="AL6" s="8">
        <f t="shared" ca="1" si="12"/>
        <v>0.97599673611005611</v>
      </c>
      <c r="AM6" s="8"/>
      <c r="AN6" s="16">
        <v>51</v>
      </c>
      <c r="AO6" s="8">
        <f t="shared" ca="1" si="13"/>
        <v>0.86924045978744935</v>
      </c>
      <c r="AP6" s="8"/>
      <c r="AQ6" s="16">
        <v>66</v>
      </c>
      <c r="AR6" s="9">
        <f t="shared" ca="1" si="14"/>
        <v>0.87367101908609102</v>
      </c>
    </row>
    <row r="7" spans="1:44">
      <c r="A7" s="13">
        <v>7</v>
      </c>
      <c r="B7" s="8">
        <f t="shared" ca="1" si="0"/>
        <v>0.99597874982806101</v>
      </c>
      <c r="C7" s="8"/>
      <c r="D7" s="16">
        <v>22</v>
      </c>
      <c r="E7" s="8">
        <f t="shared" ca="1" si="1"/>
        <v>3.3386362253816526E-2</v>
      </c>
      <c r="F7" s="8"/>
      <c r="G7" s="16">
        <v>37</v>
      </c>
      <c r="H7" s="8">
        <f t="shared" ca="1" si="2"/>
        <v>0.34398013054250176</v>
      </c>
      <c r="I7" s="8"/>
      <c r="J7" s="16">
        <v>52</v>
      </c>
      <c r="K7" s="8">
        <f t="shared" ca="1" si="3"/>
        <v>0.6028518067337425</v>
      </c>
      <c r="L7" s="8"/>
      <c r="M7" s="16">
        <v>67</v>
      </c>
      <c r="N7" s="9">
        <f t="shared" ca="1" si="4"/>
        <v>0.68982690407179037</v>
      </c>
      <c r="P7" s="13">
        <v>7</v>
      </c>
      <c r="Q7" s="8">
        <f t="shared" ca="1" si="5"/>
        <v>0.4902683247907218</v>
      </c>
      <c r="R7" s="8"/>
      <c r="S7" s="16">
        <v>22</v>
      </c>
      <c r="T7" s="8">
        <f t="shared" ca="1" si="6"/>
        <v>0.45125389664929816</v>
      </c>
      <c r="U7" s="8"/>
      <c r="V7" s="16">
        <v>37</v>
      </c>
      <c r="W7" s="8">
        <f t="shared" ca="1" si="7"/>
        <v>0.5515803234103317</v>
      </c>
      <c r="X7" s="8"/>
      <c r="Y7" s="16">
        <v>52</v>
      </c>
      <c r="Z7" s="8">
        <f t="shared" ca="1" si="8"/>
        <v>0.81954403247896868</v>
      </c>
      <c r="AA7" s="16"/>
      <c r="AB7" s="16">
        <v>67</v>
      </c>
      <c r="AC7" s="9">
        <f t="shared" ca="1" si="9"/>
        <v>0.42715251735471094</v>
      </c>
      <c r="AE7" s="13">
        <v>7</v>
      </c>
      <c r="AF7" s="8">
        <f t="shared" ca="1" si="10"/>
        <v>0.99589087731827675</v>
      </c>
      <c r="AG7" s="8"/>
      <c r="AH7" s="16">
        <v>22</v>
      </c>
      <c r="AI7" s="8">
        <f t="shared" ca="1" si="11"/>
        <v>0.15042066210317095</v>
      </c>
      <c r="AJ7" s="8"/>
      <c r="AK7" s="16">
        <v>37</v>
      </c>
      <c r="AL7" s="8">
        <f t="shared" ca="1" si="12"/>
        <v>0.72851438577427641</v>
      </c>
      <c r="AM7" s="8"/>
      <c r="AN7" s="16">
        <v>52</v>
      </c>
      <c r="AO7" s="8">
        <f t="shared" ca="1" si="13"/>
        <v>0.96058662879766366</v>
      </c>
      <c r="AP7" s="8"/>
      <c r="AQ7" s="16">
        <v>67</v>
      </c>
      <c r="AR7" s="9">
        <f t="shared" ca="1" si="14"/>
        <v>0.53085835629001743</v>
      </c>
    </row>
    <row r="8" spans="1:44">
      <c r="A8" s="13">
        <v>8</v>
      </c>
      <c r="B8" s="8">
        <f t="shared" ca="1" si="0"/>
        <v>0.44029624697937786</v>
      </c>
      <c r="C8" s="8"/>
      <c r="D8" s="16">
        <v>23</v>
      </c>
      <c r="E8" s="8">
        <f t="shared" ca="1" si="1"/>
        <v>0.95597465933660375</v>
      </c>
      <c r="F8" s="8"/>
      <c r="G8" s="16">
        <v>38</v>
      </c>
      <c r="H8" s="8">
        <f t="shared" ca="1" si="2"/>
        <v>0.42525452519814233</v>
      </c>
      <c r="I8" s="8"/>
      <c r="J8" s="16">
        <v>53</v>
      </c>
      <c r="K8" s="8">
        <f t="shared" ca="1" si="3"/>
        <v>0.58648290819130311</v>
      </c>
      <c r="L8" s="8"/>
      <c r="M8" s="16">
        <v>68</v>
      </c>
      <c r="N8" s="9">
        <f t="shared" ca="1" si="4"/>
        <v>4.4088141487463317E-2</v>
      </c>
      <c r="P8" s="13">
        <v>8</v>
      </c>
      <c r="Q8" s="8">
        <f t="shared" ca="1" si="5"/>
        <v>0.43322799210843144</v>
      </c>
      <c r="R8" s="8"/>
      <c r="S8" s="16">
        <v>23</v>
      </c>
      <c r="T8" s="8">
        <f t="shared" ca="1" si="6"/>
        <v>0.56210023501590622</v>
      </c>
      <c r="U8" s="8"/>
      <c r="V8" s="16">
        <v>38</v>
      </c>
      <c r="W8" s="8">
        <f t="shared" ca="1" si="7"/>
        <v>0.50794575527211927</v>
      </c>
      <c r="X8" s="8"/>
      <c r="Y8" s="16">
        <v>53</v>
      </c>
      <c r="Z8" s="8">
        <f t="shared" ca="1" si="8"/>
        <v>0.88399289517370461</v>
      </c>
      <c r="AA8" s="16"/>
      <c r="AB8" s="16">
        <v>68</v>
      </c>
      <c r="AC8" s="9">
        <f t="shared" ca="1" si="9"/>
        <v>0.58836207085171321</v>
      </c>
      <c r="AE8" s="13">
        <v>8</v>
      </c>
      <c r="AF8" s="8">
        <f t="shared" ca="1" si="10"/>
        <v>0.56888551229397588</v>
      </c>
      <c r="AG8" s="8"/>
      <c r="AH8" s="16">
        <v>23</v>
      </c>
      <c r="AI8" s="8">
        <f t="shared" ca="1" si="11"/>
        <v>0.20984935730703469</v>
      </c>
      <c r="AJ8" s="8"/>
      <c r="AK8" s="16">
        <v>38</v>
      </c>
      <c r="AL8" s="8">
        <f t="shared" ca="1" si="12"/>
        <v>3.7783910902947526E-2</v>
      </c>
      <c r="AM8" s="8"/>
      <c r="AN8" s="16">
        <v>53</v>
      </c>
      <c r="AO8" s="8">
        <f t="shared" ca="1" si="13"/>
        <v>0.69752957139161986</v>
      </c>
      <c r="AP8" s="8"/>
      <c r="AQ8" s="16">
        <v>68</v>
      </c>
      <c r="AR8" s="9">
        <f t="shared" ca="1" si="14"/>
        <v>0.77810136814936537</v>
      </c>
    </row>
    <row r="9" spans="1:44">
      <c r="A9" s="13">
        <v>9</v>
      </c>
      <c r="B9" s="8">
        <f t="shared" ca="1" si="0"/>
        <v>0.50919377935984622</v>
      </c>
      <c r="C9" s="8"/>
      <c r="D9" s="16">
        <v>24</v>
      </c>
      <c r="E9" s="8">
        <f t="shared" ca="1" si="1"/>
        <v>0.51832590867769335</v>
      </c>
      <c r="F9" s="8"/>
      <c r="G9" s="16">
        <v>39</v>
      </c>
      <c r="H9" s="8">
        <f t="shared" ca="1" si="2"/>
        <v>0.34344276415127084</v>
      </c>
      <c r="I9" s="8"/>
      <c r="J9" s="16">
        <v>54</v>
      </c>
      <c r="K9" s="8">
        <f t="shared" ca="1" si="3"/>
        <v>0.227598723814185</v>
      </c>
      <c r="L9" s="8"/>
      <c r="M9" s="16">
        <v>69</v>
      </c>
      <c r="N9" s="9">
        <f t="shared" ca="1" si="4"/>
        <v>0.31314025172854598</v>
      </c>
      <c r="P9" s="13">
        <v>9</v>
      </c>
      <c r="Q9" s="8">
        <f t="shared" ca="1" si="5"/>
        <v>7.0129914029766094E-2</v>
      </c>
      <c r="R9" s="8"/>
      <c r="S9" s="16">
        <v>24</v>
      </c>
      <c r="T9" s="8">
        <f t="shared" ca="1" si="6"/>
        <v>0.45268997474134143</v>
      </c>
      <c r="U9" s="8"/>
      <c r="V9" s="16">
        <v>39</v>
      </c>
      <c r="W9" s="8">
        <f t="shared" ca="1" si="7"/>
        <v>4.658406291460726E-2</v>
      </c>
      <c r="X9" s="8"/>
      <c r="Y9" s="16">
        <v>54</v>
      </c>
      <c r="Z9" s="8">
        <f t="shared" ca="1" si="8"/>
        <v>0.13748460459097533</v>
      </c>
      <c r="AA9" s="16"/>
      <c r="AB9" s="16">
        <v>69</v>
      </c>
      <c r="AC9" s="9">
        <f t="shared" ca="1" si="9"/>
        <v>0.35438859525793887</v>
      </c>
      <c r="AE9" s="13">
        <v>9</v>
      </c>
      <c r="AF9" s="8">
        <f t="shared" ca="1" si="10"/>
        <v>0.97234255750831011</v>
      </c>
      <c r="AG9" s="8"/>
      <c r="AH9" s="16">
        <v>24</v>
      </c>
      <c r="AI9" s="8">
        <f t="shared" ca="1" si="11"/>
        <v>0.7715389872280779</v>
      </c>
      <c r="AJ9" s="8"/>
      <c r="AK9" s="16">
        <v>39</v>
      </c>
      <c r="AL9" s="8">
        <f t="shared" ca="1" si="12"/>
        <v>0.86681768475337517</v>
      </c>
      <c r="AM9" s="8"/>
      <c r="AN9" s="16">
        <v>54</v>
      </c>
      <c r="AO9" s="8">
        <f t="shared" ca="1" si="13"/>
        <v>0.19010336948669537</v>
      </c>
      <c r="AP9" s="8"/>
      <c r="AQ9" s="16">
        <v>69</v>
      </c>
      <c r="AR9" s="9">
        <f t="shared" ca="1" si="14"/>
        <v>0.56776351579729278</v>
      </c>
    </row>
    <row r="10" spans="1:44">
      <c r="A10" s="13">
        <v>10</v>
      </c>
      <c r="B10" s="8">
        <f t="shared" ca="1" si="0"/>
        <v>0.54333581020835531</v>
      </c>
      <c r="C10" s="8"/>
      <c r="D10" s="16">
        <v>25</v>
      </c>
      <c r="E10" s="8">
        <f t="shared" ca="1" si="1"/>
        <v>0.83290926312655833</v>
      </c>
      <c r="F10" s="8"/>
      <c r="G10" s="16">
        <v>40</v>
      </c>
      <c r="H10" s="8">
        <f t="shared" ca="1" si="2"/>
        <v>0.80815439995337168</v>
      </c>
      <c r="I10" s="8"/>
      <c r="J10" s="16">
        <v>55</v>
      </c>
      <c r="K10" s="8">
        <f t="shared" ca="1" si="3"/>
        <v>0.41960579517103724</v>
      </c>
      <c r="L10" s="8"/>
      <c r="M10" s="16">
        <v>70</v>
      </c>
      <c r="N10" s="9">
        <f t="shared" ca="1" si="4"/>
        <v>0.76673407665517346</v>
      </c>
      <c r="P10" s="13">
        <v>10</v>
      </c>
      <c r="Q10" s="8">
        <f t="shared" ca="1" si="5"/>
        <v>0.63592290906053739</v>
      </c>
      <c r="R10" s="8"/>
      <c r="S10" s="16">
        <v>25</v>
      </c>
      <c r="T10" s="8">
        <f t="shared" ca="1" si="6"/>
        <v>0.82082593082331412</v>
      </c>
      <c r="U10" s="8"/>
      <c r="V10" s="16">
        <v>40</v>
      </c>
      <c r="W10" s="8">
        <f t="shared" ca="1" si="7"/>
        <v>9.4288352945368636E-2</v>
      </c>
      <c r="X10" s="8"/>
      <c r="Y10" s="16">
        <v>55</v>
      </c>
      <c r="Z10" s="8">
        <f t="shared" ca="1" si="8"/>
        <v>0.64494211065496176</v>
      </c>
      <c r="AA10" s="16"/>
      <c r="AB10" s="16">
        <v>70</v>
      </c>
      <c r="AC10" s="9">
        <f t="shared" ca="1" si="9"/>
        <v>0.21167346520677599</v>
      </c>
      <c r="AE10" s="13">
        <v>10</v>
      </c>
      <c r="AF10" s="8">
        <f t="shared" ca="1" si="10"/>
        <v>0.99173338075195216</v>
      </c>
      <c r="AG10" s="8"/>
      <c r="AH10" s="16">
        <v>25</v>
      </c>
      <c r="AI10" s="8">
        <f t="shared" ca="1" si="11"/>
        <v>0.10081953733408489</v>
      </c>
      <c r="AJ10" s="8"/>
      <c r="AK10" s="16">
        <v>40</v>
      </c>
      <c r="AL10" s="8">
        <f t="shared" ca="1" si="12"/>
        <v>0.96445087498116888</v>
      </c>
      <c r="AM10" s="8"/>
      <c r="AN10" s="16">
        <v>55</v>
      </c>
      <c r="AO10" s="8">
        <f t="shared" ca="1" si="13"/>
        <v>0.17627633188584768</v>
      </c>
      <c r="AP10" s="8"/>
      <c r="AQ10" s="16">
        <v>70</v>
      </c>
      <c r="AR10" s="9">
        <f t="shared" ca="1" si="14"/>
        <v>0.89852033783707619</v>
      </c>
    </row>
    <row r="11" spans="1:44">
      <c r="A11" s="13">
        <v>11</v>
      </c>
      <c r="B11" s="8">
        <f t="shared" ca="1" si="0"/>
        <v>0.18462098501691004</v>
      </c>
      <c r="C11" s="8"/>
      <c r="D11" s="16">
        <v>26</v>
      </c>
      <c r="E11" s="8">
        <f t="shared" ca="1" si="1"/>
        <v>0.68067046840495382</v>
      </c>
      <c r="F11" s="8"/>
      <c r="G11" s="16">
        <v>41</v>
      </c>
      <c r="H11" s="8">
        <f t="shared" ca="1" si="2"/>
        <v>0.89004373919482238</v>
      </c>
      <c r="I11" s="8"/>
      <c r="J11" s="16">
        <v>56</v>
      </c>
      <c r="K11" s="8">
        <f t="shared" ca="1" si="3"/>
        <v>8.478755591330267E-3</v>
      </c>
      <c r="L11" s="8"/>
      <c r="M11" s="16">
        <v>71</v>
      </c>
      <c r="N11" s="9">
        <f t="shared" ca="1" si="4"/>
        <v>0.61053551986510235</v>
      </c>
      <c r="P11" s="13">
        <v>11</v>
      </c>
      <c r="Q11" s="8">
        <f t="shared" ca="1" si="5"/>
        <v>2.8341732181087487E-2</v>
      </c>
      <c r="R11" s="8"/>
      <c r="S11" s="16">
        <v>26</v>
      </c>
      <c r="T11" s="8">
        <f t="shared" ca="1" si="6"/>
        <v>0.55015615566427356</v>
      </c>
      <c r="U11" s="8"/>
      <c r="V11" s="16">
        <v>41</v>
      </c>
      <c r="W11" s="8">
        <f t="shared" ca="1" si="7"/>
        <v>0.76095931734364886</v>
      </c>
      <c r="X11" s="8"/>
      <c r="Y11" s="16">
        <v>56</v>
      </c>
      <c r="Z11" s="8">
        <f t="shared" ca="1" si="8"/>
        <v>0.31788320689963756</v>
      </c>
      <c r="AA11" s="16"/>
      <c r="AB11" s="16">
        <v>71</v>
      </c>
      <c r="AC11" s="9">
        <f t="shared" ca="1" si="9"/>
        <v>0.24423953133574017</v>
      </c>
      <c r="AE11" s="13">
        <v>11</v>
      </c>
      <c r="AF11" s="8">
        <f t="shared" ca="1" si="10"/>
        <v>0.82375011510782781</v>
      </c>
      <c r="AG11" s="8"/>
      <c r="AH11" s="16">
        <v>26</v>
      </c>
      <c r="AI11" s="8">
        <f t="shared" ca="1" si="11"/>
        <v>0.93758275764313326</v>
      </c>
      <c r="AJ11" s="8"/>
      <c r="AK11" s="16">
        <v>41</v>
      </c>
      <c r="AL11" s="8">
        <f t="shared" ca="1" si="12"/>
        <v>0.54565055704533094</v>
      </c>
      <c r="AM11" s="8"/>
      <c r="AN11" s="16">
        <v>56</v>
      </c>
      <c r="AO11" s="8">
        <f t="shared" ca="1" si="13"/>
        <v>0.65009939241299297</v>
      </c>
      <c r="AP11" s="8"/>
      <c r="AQ11" s="16">
        <v>71</v>
      </c>
      <c r="AR11" s="9">
        <f t="shared" ca="1" si="14"/>
        <v>0.84410506985092193</v>
      </c>
    </row>
    <row r="12" spans="1:44">
      <c r="A12" s="13">
        <v>12</v>
      </c>
      <c r="B12" s="8">
        <f t="shared" ca="1" si="0"/>
        <v>0.99750357911962018</v>
      </c>
      <c r="C12" s="8"/>
      <c r="D12" s="16">
        <v>27</v>
      </c>
      <c r="E12" s="8">
        <f t="shared" ca="1" si="1"/>
        <v>0.16896323427605631</v>
      </c>
      <c r="F12" s="8"/>
      <c r="G12" s="16">
        <v>42</v>
      </c>
      <c r="H12" s="8">
        <f t="shared" ca="1" si="2"/>
        <v>0.41094848695137343</v>
      </c>
      <c r="I12" s="8"/>
      <c r="J12" s="16">
        <v>57</v>
      </c>
      <c r="K12" s="8">
        <f t="shared" ca="1" si="3"/>
        <v>0.70615994503751822</v>
      </c>
      <c r="L12" s="8"/>
      <c r="M12" s="16">
        <v>72</v>
      </c>
      <c r="N12" s="9">
        <f t="shared" ca="1" si="4"/>
        <v>0.98631005792397985</v>
      </c>
      <c r="P12" s="13">
        <v>12</v>
      </c>
      <c r="Q12" s="8">
        <f t="shared" ca="1" si="5"/>
        <v>0.47309035542999522</v>
      </c>
      <c r="R12" s="8"/>
      <c r="S12" s="16">
        <v>27</v>
      </c>
      <c r="T12" s="8">
        <f t="shared" ca="1" si="6"/>
        <v>0.57615226965646948</v>
      </c>
      <c r="U12" s="8"/>
      <c r="V12" s="16">
        <v>42</v>
      </c>
      <c r="W12" s="8">
        <f t="shared" ca="1" si="7"/>
        <v>0.80640335803090923</v>
      </c>
      <c r="X12" s="8"/>
      <c r="Y12" s="16">
        <v>57</v>
      </c>
      <c r="Z12" s="8">
        <f t="shared" ca="1" si="8"/>
        <v>0.21390751116603912</v>
      </c>
      <c r="AA12" s="16"/>
      <c r="AB12" s="16">
        <v>72</v>
      </c>
      <c r="AC12" s="9">
        <f t="shared" ca="1" si="9"/>
        <v>0.75565333615454178</v>
      </c>
      <c r="AE12" s="13">
        <v>12</v>
      </c>
      <c r="AF12" s="8">
        <f t="shared" ca="1" si="10"/>
        <v>0.97651404155465782</v>
      </c>
      <c r="AG12" s="8"/>
      <c r="AH12" s="16">
        <v>27</v>
      </c>
      <c r="AI12" s="8">
        <f t="shared" ca="1" si="11"/>
        <v>0.87201060892716997</v>
      </c>
      <c r="AJ12" s="8"/>
      <c r="AK12" s="16">
        <v>42</v>
      </c>
      <c r="AL12" s="8">
        <f t="shared" ca="1" si="12"/>
        <v>0.58609321175360296</v>
      </c>
      <c r="AM12" s="8"/>
      <c r="AN12" s="16">
        <v>57</v>
      </c>
      <c r="AO12" s="8">
        <f t="shared" ca="1" si="13"/>
        <v>0.46554816916000097</v>
      </c>
      <c r="AP12" s="8"/>
      <c r="AQ12" s="16">
        <v>72</v>
      </c>
      <c r="AR12" s="9">
        <f t="shared" ca="1" si="14"/>
        <v>0.33099248665372183</v>
      </c>
    </row>
    <row r="13" spans="1:44">
      <c r="A13" s="13">
        <v>13</v>
      </c>
      <c r="B13" s="8">
        <f t="shared" ca="1" si="0"/>
        <v>0.54399873479673744</v>
      </c>
      <c r="C13" s="8"/>
      <c r="D13" s="16">
        <v>28</v>
      </c>
      <c r="E13" s="8">
        <f t="shared" ca="1" si="1"/>
        <v>0.43594968389575428</v>
      </c>
      <c r="F13" s="8"/>
      <c r="G13" s="16">
        <v>43</v>
      </c>
      <c r="H13" s="8">
        <f t="shared" ca="1" si="2"/>
        <v>0.20076597014581232</v>
      </c>
      <c r="I13" s="8"/>
      <c r="J13" s="16">
        <v>58</v>
      </c>
      <c r="K13" s="8">
        <f t="shared" ca="1" si="3"/>
        <v>0.83794614312349136</v>
      </c>
      <c r="L13" s="8"/>
      <c r="M13" s="16">
        <v>73</v>
      </c>
      <c r="N13" s="9">
        <f t="shared" ca="1" si="4"/>
        <v>0.75522296224118657</v>
      </c>
      <c r="P13" s="13">
        <v>13</v>
      </c>
      <c r="Q13" s="8">
        <f t="shared" ca="1" si="5"/>
        <v>0.21774549259305798</v>
      </c>
      <c r="R13" s="8"/>
      <c r="S13" s="16">
        <v>28</v>
      </c>
      <c r="T13" s="8">
        <f t="shared" ca="1" si="6"/>
        <v>0.9733138533638257</v>
      </c>
      <c r="U13" s="8"/>
      <c r="V13" s="16">
        <v>43</v>
      </c>
      <c r="W13" s="8">
        <f t="shared" ca="1" si="7"/>
        <v>0.76707020421209615</v>
      </c>
      <c r="X13" s="8"/>
      <c r="Y13" s="16">
        <v>58</v>
      </c>
      <c r="Z13" s="8">
        <f t="shared" ca="1" si="8"/>
        <v>0.78459769494594589</v>
      </c>
      <c r="AA13" s="16"/>
      <c r="AB13" s="16">
        <v>73</v>
      </c>
      <c r="AC13" s="9">
        <f t="shared" ca="1" si="9"/>
        <v>0.85511005215547931</v>
      </c>
      <c r="AE13" s="13">
        <v>13</v>
      </c>
      <c r="AF13" s="8">
        <f t="shared" ca="1" si="10"/>
        <v>0.91711383002436275</v>
      </c>
      <c r="AG13" s="8"/>
      <c r="AH13" s="16">
        <v>28</v>
      </c>
      <c r="AI13" s="8">
        <f t="shared" ca="1" si="11"/>
        <v>0.80262588846529304</v>
      </c>
      <c r="AJ13" s="8"/>
      <c r="AK13" s="16">
        <v>43</v>
      </c>
      <c r="AL13" s="8">
        <f t="shared" ca="1" si="12"/>
        <v>0.88177185881138753</v>
      </c>
      <c r="AM13" s="8"/>
      <c r="AN13" s="16">
        <v>58</v>
      </c>
      <c r="AO13" s="8">
        <f t="shared" ca="1" si="13"/>
        <v>2.656554696681368E-2</v>
      </c>
      <c r="AP13" s="8"/>
      <c r="AQ13" s="16">
        <v>73</v>
      </c>
      <c r="AR13" s="9">
        <f t="shared" ca="1" si="14"/>
        <v>0.19435044075364949</v>
      </c>
    </row>
    <row r="14" spans="1:44">
      <c r="A14" s="13">
        <v>14</v>
      </c>
      <c r="B14" s="8">
        <f t="shared" ca="1" si="0"/>
        <v>0.40437453451260807</v>
      </c>
      <c r="C14" s="8"/>
      <c r="D14" s="16">
        <v>29</v>
      </c>
      <c r="E14" s="8">
        <f t="shared" ca="1" si="1"/>
        <v>0.54439846475703302</v>
      </c>
      <c r="F14" s="8"/>
      <c r="G14" s="16">
        <v>44</v>
      </c>
      <c r="H14" s="8">
        <f t="shared" ca="1" si="2"/>
        <v>0.79857078586393371</v>
      </c>
      <c r="I14" s="8"/>
      <c r="J14" s="16">
        <v>59</v>
      </c>
      <c r="K14" s="8">
        <f t="shared" ca="1" si="3"/>
        <v>0.68130509774086845</v>
      </c>
      <c r="L14" s="8"/>
      <c r="M14" s="16">
        <v>74</v>
      </c>
      <c r="N14" s="9">
        <f t="shared" ca="1" si="4"/>
        <v>0.49820674452991254</v>
      </c>
      <c r="P14" s="13">
        <v>14</v>
      </c>
      <c r="Q14" s="8">
        <f t="shared" ca="1" si="5"/>
        <v>0.44411478859811271</v>
      </c>
      <c r="R14" s="8"/>
      <c r="S14" s="16">
        <v>29</v>
      </c>
      <c r="T14" s="8">
        <f t="shared" ca="1" si="6"/>
        <v>0.38244242826569008</v>
      </c>
      <c r="U14" s="8"/>
      <c r="V14" s="16">
        <v>44</v>
      </c>
      <c r="W14" s="8">
        <f t="shared" ca="1" si="7"/>
        <v>0.71549632732448887</v>
      </c>
      <c r="X14" s="8"/>
      <c r="Y14" s="16">
        <v>59</v>
      </c>
      <c r="Z14" s="8">
        <f t="shared" ca="1" si="8"/>
        <v>0.77312669870961637</v>
      </c>
      <c r="AA14" s="16"/>
      <c r="AB14" s="16">
        <v>74</v>
      </c>
      <c r="AC14" s="9">
        <f t="shared" ca="1" si="9"/>
        <v>0.41130105381723814</v>
      </c>
      <c r="AE14" s="13">
        <v>14</v>
      </c>
      <c r="AF14" s="8">
        <f t="shared" ca="1" si="10"/>
        <v>8.182571675550665E-2</v>
      </c>
      <c r="AG14" s="8"/>
      <c r="AH14" s="16">
        <v>29</v>
      </c>
      <c r="AI14" s="8">
        <f t="shared" ca="1" si="11"/>
        <v>0.87613672392897146</v>
      </c>
      <c r="AJ14" s="8"/>
      <c r="AK14" s="16">
        <v>44</v>
      </c>
      <c r="AL14" s="8">
        <f t="shared" ca="1" si="12"/>
        <v>0.28465297297448955</v>
      </c>
      <c r="AM14" s="8"/>
      <c r="AN14" s="16">
        <v>59</v>
      </c>
      <c r="AO14" s="8">
        <f t="shared" ca="1" si="13"/>
        <v>0.93005861883498753</v>
      </c>
      <c r="AP14" s="8"/>
      <c r="AQ14" s="16">
        <v>74</v>
      </c>
      <c r="AR14" s="9">
        <f t="shared" ca="1" si="14"/>
        <v>0.7173069211703873</v>
      </c>
    </row>
    <row r="15" spans="1:44" ht="17.25" thickBot="1">
      <c r="A15" s="14">
        <v>15</v>
      </c>
      <c r="B15" s="10">
        <f t="shared" ca="1" si="0"/>
        <v>0.92948682150263129</v>
      </c>
      <c r="C15" s="10"/>
      <c r="D15" s="17">
        <v>30</v>
      </c>
      <c r="E15" s="10">
        <f t="shared" ca="1" si="1"/>
        <v>0.4043849556534197</v>
      </c>
      <c r="F15" s="10"/>
      <c r="G15" s="17">
        <v>45</v>
      </c>
      <c r="H15" s="10">
        <f t="shared" ca="1" si="2"/>
        <v>0.10626468493721408</v>
      </c>
      <c r="I15" s="10"/>
      <c r="J15" s="17">
        <v>60</v>
      </c>
      <c r="K15" s="10">
        <f t="shared" ca="1" si="3"/>
        <v>0.8785533169020987</v>
      </c>
      <c r="L15" s="10"/>
      <c r="M15" s="17">
        <v>75</v>
      </c>
      <c r="N15" s="11">
        <f t="shared" ca="1" si="4"/>
        <v>0.94639702461471176</v>
      </c>
      <c r="P15" s="14">
        <v>15</v>
      </c>
      <c r="Q15" s="10">
        <f t="shared" ca="1" si="5"/>
        <v>0.85355497042061013</v>
      </c>
      <c r="R15" s="10"/>
      <c r="S15" s="17">
        <v>30</v>
      </c>
      <c r="T15" s="10">
        <f t="shared" ca="1" si="6"/>
        <v>0.68937021524672981</v>
      </c>
      <c r="U15" s="10"/>
      <c r="V15" s="17">
        <v>45</v>
      </c>
      <c r="W15" s="10">
        <f t="shared" ca="1" si="7"/>
        <v>0.6608538529347423</v>
      </c>
      <c r="X15" s="10"/>
      <c r="Y15" s="17">
        <v>60</v>
      </c>
      <c r="Z15" s="10">
        <f t="shared" ca="1" si="8"/>
        <v>0.41744467339180369</v>
      </c>
      <c r="AA15" s="17"/>
      <c r="AB15" s="17">
        <v>75</v>
      </c>
      <c r="AC15" s="11">
        <f t="shared" ca="1" si="9"/>
        <v>0.62057966294826772</v>
      </c>
      <c r="AE15" s="14">
        <v>15</v>
      </c>
      <c r="AF15" s="10">
        <f t="shared" ca="1" si="10"/>
        <v>0.46740230829248908</v>
      </c>
      <c r="AG15" s="10"/>
      <c r="AH15" s="17">
        <v>30</v>
      </c>
      <c r="AI15" s="10">
        <f t="shared" ca="1" si="11"/>
        <v>0.76300542034395125</v>
      </c>
      <c r="AJ15" s="10"/>
      <c r="AK15" s="17">
        <v>45</v>
      </c>
      <c r="AL15" s="10">
        <f t="shared" ca="1" si="12"/>
        <v>0.67735476560632668</v>
      </c>
      <c r="AM15" s="10"/>
      <c r="AN15" s="17">
        <v>60</v>
      </c>
      <c r="AO15" s="10">
        <f t="shared" ca="1" si="13"/>
        <v>0.74711273089567065</v>
      </c>
      <c r="AP15" s="10"/>
      <c r="AQ15" s="17">
        <v>75</v>
      </c>
      <c r="AR15" s="11">
        <f t="shared" ca="1" si="14"/>
        <v>0.29741723224041361</v>
      </c>
    </row>
    <row r="20" spans="1:44" ht="17.25" thickBot="1"/>
    <row r="21" spans="1:44">
      <c r="A21" s="12">
        <v>1</v>
      </c>
      <c r="B21" s="6">
        <f t="shared" ref="B21:B35" ca="1" si="15">RAND()</f>
        <v>0.13384396746677918</v>
      </c>
      <c r="C21" s="6"/>
      <c r="D21" s="15">
        <v>16</v>
      </c>
      <c r="E21" s="6">
        <f t="shared" ref="E21:E35" ca="1" si="16">RAND()</f>
        <v>0.39046730806532626</v>
      </c>
      <c r="F21" s="6"/>
      <c r="G21" s="15">
        <v>31</v>
      </c>
      <c r="H21" s="6">
        <f t="shared" ref="H21:H35" ca="1" si="17">RAND()</f>
        <v>0.34926087483077506</v>
      </c>
      <c r="I21" s="6"/>
      <c r="J21" s="15">
        <v>46</v>
      </c>
      <c r="K21" s="6">
        <f t="shared" ref="K21:K35" ca="1" si="18">RAND()</f>
        <v>9.7723667087423416E-2</v>
      </c>
      <c r="L21" s="6"/>
      <c r="M21" s="15">
        <v>61</v>
      </c>
      <c r="N21" s="7">
        <f t="shared" ref="N21:N35" ca="1" si="19">RAND()</f>
        <v>0.94354480253120354</v>
      </c>
      <c r="P21" s="12">
        <v>1</v>
      </c>
      <c r="Q21" s="6">
        <f t="shared" ref="Q21:Q35" ca="1" si="20">RAND()</f>
        <v>0.86878422866783589</v>
      </c>
      <c r="R21" s="6"/>
      <c r="S21" s="15">
        <v>16</v>
      </c>
      <c r="T21" s="6">
        <f t="shared" ref="T21:T35" ca="1" si="21">RAND()</f>
        <v>0.38043888305586282</v>
      </c>
      <c r="U21" s="6"/>
      <c r="V21" s="15">
        <v>31</v>
      </c>
      <c r="W21" s="6">
        <f t="shared" ref="W21:W35" ca="1" si="22">RAND()</f>
        <v>0.36183429677072865</v>
      </c>
      <c r="X21" s="6"/>
      <c r="Y21" s="15">
        <v>46</v>
      </c>
      <c r="Z21" s="6">
        <f t="shared" ref="Z21:Z35" ca="1" si="23">RAND()</f>
        <v>0.5227877113973618</v>
      </c>
      <c r="AA21" s="6"/>
      <c r="AB21" s="15">
        <v>61</v>
      </c>
      <c r="AC21" s="7">
        <f t="shared" ref="AC21:AC35" ca="1" si="24">RAND()</f>
        <v>0.16058467663203657</v>
      </c>
      <c r="AE21" s="12">
        <v>1</v>
      </c>
      <c r="AF21" s="6">
        <f t="shared" ref="AF21:AF35" ca="1" si="25">RAND()</f>
        <v>0.79668997632241645</v>
      </c>
      <c r="AG21" s="6"/>
      <c r="AH21" s="15">
        <v>16</v>
      </c>
      <c r="AI21" s="6">
        <f t="shared" ref="AI21:AI35" ca="1" si="26">RAND()</f>
        <v>0.53598155095620137</v>
      </c>
      <c r="AJ21" s="6"/>
      <c r="AK21" s="15">
        <v>31</v>
      </c>
      <c r="AL21" s="6">
        <f t="shared" ref="AL21:AL35" ca="1" si="27">RAND()</f>
        <v>0.68081045988220312</v>
      </c>
      <c r="AM21" s="6"/>
      <c r="AN21" s="15">
        <v>46</v>
      </c>
      <c r="AO21" s="6">
        <f t="shared" ref="AO21:AO35" ca="1" si="28">RAND()</f>
        <v>0.55236182686893986</v>
      </c>
      <c r="AP21" s="6"/>
      <c r="AQ21" s="15">
        <v>61</v>
      </c>
      <c r="AR21" s="7">
        <f t="shared" ref="AR21:AR35" ca="1" si="29">RAND()</f>
        <v>0.96534790330100728</v>
      </c>
    </row>
    <row r="22" spans="1:44">
      <c r="A22" s="13">
        <v>2</v>
      </c>
      <c r="B22" s="8">
        <f t="shared" ca="1" si="15"/>
        <v>0.15621949555862125</v>
      </c>
      <c r="C22" s="8"/>
      <c r="D22" s="16">
        <v>17</v>
      </c>
      <c r="E22" s="8">
        <f t="shared" ca="1" si="16"/>
        <v>0.95889374446723308</v>
      </c>
      <c r="F22" s="8"/>
      <c r="G22" s="16">
        <v>32</v>
      </c>
      <c r="H22" s="8">
        <f t="shared" ca="1" si="17"/>
        <v>0.81451551737089678</v>
      </c>
      <c r="I22" s="8"/>
      <c r="J22" s="16">
        <v>47</v>
      </c>
      <c r="K22" s="8">
        <f t="shared" ca="1" si="18"/>
        <v>6.4021194551655447E-2</v>
      </c>
      <c r="L22" s="8"/>
      <c r="M22" s="16">
        <v>62</v>
      </c>
      <c r="N22" s="9">
        <f t="shared" ca="1" si="19"/>
        <v>0.49034141111248308</v>
      </c>
      <c r="P22" s="13">
        <v>2</v>
      </c>
      <c r="Q22" s="8">
        <f t="shared" ca="1" si="20"/>
        <v>0.80937450311244996</v>
      </c>
      <c r="R22" s="8"/>
      <c r="S22" s="16">
        <v>17</v>
      </c>
      <c r="T22" s="8">
        <f t="shared" ca="1" si="21"/>
        <v>0.85289018533273542</v>
      </c>
      <c r="U22" s="8"/>
      <c r="V22" s="16">
        <v>32</v>
      </c>
      <c r="W22" s="8">
        <f t="shared" ca="1" si="22"/>
        <v>0.1244994743178236</v>
      </c>
      <c r="X22" s="8"/>
      <c r="Y22" s="16">
        <v>47</v>
      </c>
      <c r="Z22" s="8">
        <f t="shared" ca="1" si="23"/>
        <v>0.82174753233760911</v>
      </c>
      <c r="AA22" s="8"/>
      <c r="AB22" s="16">
        <v>62</v>
      </c>
      <c r="AC22" s="9">
        <f t="shared" ca="1" si="24"/>
        <v>0.38736667146039649</v>
      </c>
      <c r="AE22" s="13">
        <v>2</v>
      </c>
      <c r="AF22" s="8">
        <f t="shared" ca="1" si="25"/>
        <v>0.16438312308827263</v>
      </c>
      <c r="AG22" s="8"/>
      <c r="AH22" s="16">
        <v>17</v>
      </c>
      <c r="AI22" s="8">
        <f t="shared" ca="1" si="26"/>
        <v>0.1101184535207631</v>
      </c>
      <c r="AJ22" s="8"/>
      <c r="AK22" s="16">
        <v>32</v>
      </c>
      <c r="AL22" s="8">
        <f t="shared" ca="1" si="27"/>
        <v>0.52314264118763809</v>
      </c>
      <c r="AM22" s="8"/>
      <c r="AN22" s="16">
        <v>47</v>
      </c>
      <c r="AO22" s="8">
        <f t="shared" ca="1" si="28"/>
        <v>0.15769014838890816</v>
      </c>
      <c r="AP22" s="8"/>
      <c r="AQ22" s="16">
        <v>62</v>
      </c>
      <c r="AR22" s="9">
        <f t="shared" ca="1" si="29"/>
        <v>3.0425575415937711E-3</v>
      </c>
    </row>
    <row r="23" spans="1:44">
      <c r="A23" s="13">
        <v>3</v>
      </c>
      <c r="B23" s="8">
        <f t="shared" ca="1" si="15"/>
        <v>0.57267527685615471</v>
      </c>
      <c r="C23" s="8"/>
      <c r="D23" s="16">
        <v>18</v>
      </c>
      <c r="E23" s="8">
        <f t="shared" ca="1" si="16"/>
        <v>0.61453492409350829</v>
      </c>
      <c r="F23" s="8"/>
      <c r="G23" s="16">
        <v>33</v>
      </c>
      <c r="H23" s="8">
        <f t="shared" ca="1" si="17"/>
        <v>4.8150792494716432E-2</v>
      </c>
      <c r="I23" s="8"/>
      <c r="J23" s="16">
        <v>48</v>
      </c>
      <c r="K23" s="8">
        <f t="shared" ca="1" si="18"/>
        <v>0.59404817714991098</v>
      </c>
      <c r="L23" s="8"/>
      <c r="M23" s="16">
        <v>63</v>
      </c>
      <c r="N23" s="9">
        <f t="shared" ca="1" si="19"/>
        <v>0.87006719032950264</v>
      </c>
      <c r="P23" s="13">
        <v>3</v>
      </c>
      <c r="Q23" s="8">
        <f t="shared" ca="1" si="20"/>
        <v>0.27358167445940806</v>
      </c>
      <c r="R23" s="8"/>
      <c r="S23" s="16">
        <v>18</v>
      </c>
      <c r="T23" s="8">
        <f t="shared" ca="1" si="21"/>
        <v>0.35409513864260067</v>
      </c>
      <c r="U23" s="8"/>
      <c r="V23" s="16">
        <v>33</v>
      </c>
      <c r="W23" s="8">
        <f t="shared" ca="1" si="22"/>
        <v>0.95430688131427666</v>
      </c>
      <c r="X23" s="8"/>
      <c r="Y23" s="16">
        <v>48</v>
      </c>
      <c r="Z23" s="8">
        <f t="shared" ca="1" si="23"/>
        <v>0.87107696315994509</v>
      </c>
      <c r="AA23" s="8"/>
      <c r="AB23" s="16">
        <v>63</v>
      </c>
      <c r="AC23" s="9">
        <f t="shared" ca="1" si="24"/>
        <v>0.16092551618963002</v>
      </c>
      <c r="AE23" s="13">
        <v>3</v>
      </c>
      <c r="AF23" s="8">
        <f t="shared" ca="1" si="25"/>
        <v>0.40087738601402734</v>
      </c>
      <c r="AG23" s="8"/>
      <c r="AH23" s="16">
        <v>18</v>
      </c>
      <c r="AI23" s="8">
        <f t="shared" ca="1" si="26"/>
        <v>0.68507987161305794</v>
      </c>
      <c r="AJ23" s="8"/>
      <c r="AK23" s="16">
        <v>33</v>
      </c>
      <c r="AL23" s="8">
        <f t="shared" ca="1" si="27"/>
        <v>7.2433291030878588E-2</v>
      </c>
      <c r="AM23" s="8"/>
      <c r="AN23" s="16">
        <v>48</v>
      </c>
      <c r="AO23" s="8">
        <f t="shared" ca="1" si="28"/>
        <v>0.36659930326653689</v>
      </c>
      <c r="AP23" s="8"/>
      <c r="AQ23" s="16">
        <v>63</v>
      </c>
      <c r="AR23" s="9">
        <f t="shared" ca="1" si="29"/>
        <v>8.9848277082934969E-2</v>
      </c>
    </row>
    <row r="24" spans="1:44">
      <c r="A24" s="13">
        <v>4</v>
      </c>
      <c r="B24" s="8">
        <f t="shared" ca="1" si="15"/>
        <v>0.16425365200548314</v>
      </c>
      <c r="C24" s="8"/>
      <c r="D24" s="16">
        <v>19</v>
      </c>
      <c r="E24" s="8">
        <f t="shared" ca="1" si="16"/>
        <v>0.85938749360876965</v>
      </c>
      <c r="F24" s="8"/>
      <c r="G24" s="16">
        <v>34</v>
      </c>
      <c r="H24" s="8">
        <f t="shared" ca="1" si="17"/>
        <v>0.16540401922291892</v>
      </c>
      <c r="I24" s="8"/>
      <c r="J24" s="16">
        <v>49</v>
      </c>
      <c r="K24" s="8">
        <f t="shared" ca="1" si="18"/>
        <v>0.45476449203504632</v>
      </c>
      <c r="L24" s="8"/>
      <c r="M24" s="16">
        <v>64</v>
      </c>
      <c r="N24" s="9">
        <f t="shared" ca="1" si="19"/>
        <v>8.3068189991984287E-2</v>
      </c>
      <c r="P24" s="13">
        <v>4</v>
      </c>
      <c r="Q24" s="8">
        <f t="shared" ca="1" si="20"/>
        <v>0.57614634502692796</v>
      </c>
      <c r="R24" s="8"/>
      <c r="S24" s="16">
        <v>19</v>
      </c>
      <c r="T24" s="8">
        <f t="shared" ca="1" si="21"/>
        <v>0.55606088727910774</v>
      </c>
      <c r="U24" s="8"/>
      <c r="V24" s="16">
        <v>34</v>
      </c>
      <c r="W24" s="8">
        <f t="shared" ca="1" si="22"/>
        <v>0.19752172863897999</v>
      </c>
      <c r="X24" s="8"/>
      <c r="Y24" s="16">
        <v>49</v>
      </c>
      <c r="Z24" s="8">
        <f t="shared" ca="1" si="23"/>
        <v>8.1452270723167741E-2</v>
      </c>
      <c r="AA24" s="8"/>
      <c r="AB24" s="16">
        <v>64</v>
      </c>
      <c r="AC24" s="9">
        <f t="shared" ca="1" si="24"/>
        <v>0.67826405500885156</v>
      </c>
      <c r="AE24" s="13">
        <v>4</v>
      </c>
      <c r="AF24" s="8">
        <f t="shared" ca="1" si="25"/>
        <v>0.73123578696528346</v>
      </c>
      <c r="AG24" s="8"/>
      <c r="AH24" s="16">
        <v>19</v>
      </c>
      <c r="AI24" s="8">
        <f t="shared" ca="1" si="26"/>
        <v>8.5241932392202679E-3</v>
      </c>
      <c r="AJ24" s="8"/>
      <c r="AK24" s="16">
        <v>34</v>
      </c>
      <c r="AL24" s="8">
        <f t="shared" ca="1" si="27"/>
        <v>0.61037829952555545</v>
      </c>
      <c r="AM24" s="8"/>
      <c r="AN24" s="16">
        <v>49</v>
      </c>
      <c r="AO24" s="8">
        <f t="shared" ca="1" si="28"/>
        <v>0.36364130114666393</v>
      </c>
      <c r="AP24" s="8"/>
      <c r="AQ24" s="16">
        <v>64</v>
      </c>
      <c r="AR24" s="9">
        <f t="shared" ca="1" si="29"/>
        <v>0.2866921527417613</v>
      </c>
    </row>
    <row r="25" spans="1:44">
      <c r="A25" s="13">
        <v>5</v>
      </c>
      <c r="B25" s="8">
        <f t="shared" ca="1" si="15"/>
        <v>0.24398895552077182</v>
      </c>
      <c r="C25" s="8"/>
      <c r="D25" s="16">
        <v>20</v>
      </c>
      <c r="E25" s="8">
        <f t="shared" ca="1" si="16"/>
        <v>0.82039561938132488</v>
      </c>
      <c r="F25" s="8"/>
      <c r="G25" s="16">
        <v>35</v>
      </c>
      <c r="H25" s="8">
        <f t="shared" ca="1" si="17"/>
        <v>0.91540328749664079</v>
      </c>
      <c r="I25" s="8"/>
      <c r="J25" s="16">
        <v>50</v>
      </c>
      <c r="K25" s="8">
        <f t="shared" ca="1" si="18"/>
        <v>0.73165515673913539</v>
      </c>
      <c r="L25" s="8"/>
      <c r="M25" s="16">
        <v>65</v>
      </c>
      <c r="N25" s="9">
        <f t="shared" ca="1" si="19"/>
        <v>0.2593912504307162</v>
      </c>
      <c r="P25" s="13">
        <v>5</v>
      </c>
      <c r="Q25" s="8">
        <f t="shared" ca="1" si="20"/>
        <v>0.378138100701783</v>
      </c>
      <c r="R25" s="8"/>
      <c r="S25" s="16">
        <v>20</v>
      </c>
      <c r="T25" s="8">
        <f t="shared" ca="1" si="21"/>
        <v>0.31218141859919357</v>
      </c>
      <c r="U25" s="8"/>
      <c r="V25" s="16">
        <v>35</v>
      </c>
      <c r="W25" s="8">
        <f t="shared" ca="1" si="22"/>
        <v>0.64489713369348056</v>
      </c>
      <c r="X25" s="8"/>
      <c r="Y25" s="16">
        <v>50</v>
      </c>
      <c r="Z25" s="8">
        <f t="shared" ca="1" si="23"/>
        <v>0.81068144947981446</v>
      </c>
      <c r="AA25" s="8"/>
      <c r="AB25" s="16">
        <v>65</v>
      </c>
      <c r="AC25" s="9">
        <f t="shared" ca="1" si="24"/>
        <v>0.50190995050212872</v>
      </c>
      <c r="AE25" s="13">
        <v>5</v>
      </c>
      <c r="AF25" s="8">
        <f t="shared" ca="1" si="25"/>
        <v>0.38562690113737064</v>
      </c>
      <c r="AG25" s="8"/>
      <c r="AH25" s="16">
        <v>20</v>
      </c>
      <c r="AI25" s="8">
        <f t="shared" ca="1" si="26"/>
        <v>0.65213052465941501</v>
      </c>
      <c r="AJ25" s="8"/>
      <c r="AK25" s="16">
        <v>35</v>
      </c>
      <c r="AL25" s="8">
        <f t="shared" ca="1" si="27"/>
        <v>0.24558288878262724</v>
      </c>
      <c r="AM25" s="8"/>
      <c r="AN25" s="16">
        <v>50</v>
      </c>
      <c r="AO25" s="8">
        <f t="shared" ca="1" si="28"/>
        <v>0.34674684123325539</v>
      </c>
      <c r="AP25" s="8"/>
      <c r="AQ25" s="16">
        <v>65</v>
      </c>
      <c r="AR25" s="9">
        <f t="shared" ca="1" si="29"/>
        <v>0.55036588739199255</v>
      </c>
    </row>
    <row r="26" spans="1:44">
      <c r="A26" s="13">
        <v>6</v>
      </c>
      <c r="B26" s="8">
        <f t="shared" ca="1" si="15"/>
        <v>0.15262952061859969</v>
      </c>
      <c r="C26" s="8"/>
      <c r="D26" s="16">
        <v>21</v>
      </c>
      <c r="E26" s="8">
        <f t="shared" ca="1" si="16"/>
        <v>0.19253839943849727</v>
      </c>
      <c r="F26" s="8"/>
      <c r="G26" s="16">
        <v>36</v>
      </c>
      <c r="H26" s="8">
        <f t="shared" ca="1" si="17"/>
        <v>0.45907730119284074</v>
      </c>
      <c r="I26" s="8"/>
      <c r="J26" s="16">
        <v>51</v>
      </c>
      <c r="K26" s="8">
        <f t="shared" ca="1" si="18"/>
        <v>0.3474910675834022</v>
      </c>
      <c r="L26" s="8"/>
      <c r="M26" s="16">
        <v>66</v>
      </c>
      <c r="N26" s="9">
        <f t="shared" ca="1" si="19"/>
        <v>0.32323433098098331</v>
      </c>
      <c r="P26" s="13">
        <v>6</v>
      </c>
      <c r="Q26" s="8">
        <f t="shared" ca="1" si="20"/>
        <v>0.33010565088132626</v>
      </c>
      <c r="R26" s="8"/>
      <c r="S26" s="16">
        <v>21</v>
      </c>
      <c r="T26" s="8">
        <f t="shared" ca="1" si="21"/>
        <v>0.68001805832658613</v>
      </c>
      <c r="U26" s="8"/>
      <c r="V26" s="16">
        <v>36</v>
      </c>
      <c r="W26" s="8">
        <f t="shared" ca="1" si="22"/>
        <v>0.61072980922239573</v>
      </c>
      <c r="X26" s="8"/>
      <c r="Y26" s="16">
        <v>51</v>
      </c>
      <c r="Z26" s="8">
        <f t="shared" ca="1" si="23"/>
        <v>0.34662672882614887</v>
      </c>
      <c r="AA26" s="8"/>
      <c r="AB26" s="16">
        <v>66</v>
      </c>
      <c r="AC26" s="9">
        <f t="shared" ca="1" si="24"/>
        <v>6.0786890427085294E-2</v>
      </c>
      <c r="AE26" s="13">
        <v>6</v>
      </c>
      <c r="AF26" s="8">
        <f t="shared" ca="1" si="25"/>
        <v>0.54765254925335649</v>
      </c>
      <c r="AG26" s="8"/>
      <c r="AH26" s="16">
        <v>21</v>
      </c>
      <c r="AI26" s="8">
        <f t="shared" ca="1" si="26"/>
        <v>0.11502337989604372</v>
      </c>
      <c r="AJ26" s="8"/>
      <c r="AK26" s="16">
        <v>36</v>
      </c>
      <c r="AL26" s="8">
        <f t="shared" ca="1" si="27"/>
        <v>0.16922934178106175</v>
      </c>
      <c r="AM26" s="8"/>
      <c r="AN26" s="16">
        <v>51</v>
      </c>
      <c r="AO26" s="8">
        <f t="shared" ca="1" si="28"/>
        <v>0.14059481876368285</v>
      </c>
      <c r="AP26" s="8"/>
      <c r="AQ26" s="16">
        <v>66</v>
      </c>
      <c r="AR26" s="9">
        <f t="shared" ca="1" si="29"/>
        <v>0.30899347687074452</v>
      </c>
    </row>
    <row r="27" spans="1:44">
      <c r="A27" s="13">
        <v>7</v>
      </c>
      <c r="B27" s="8">
        <f t="shared" ca="1" si="15"/>
        <v>0.47796874524501654</v>
      </c>
      <c r="C27" s="8"/>
      <c r="D27" s="16">
        <v>22</v>
      </c>
      <c r="E27" s="8">
        <f t="shared" ca="1" si="16"/>
        <v>0.81454510398997726</v>
      </c>
      <c r="F27" s="8"/>
      <c r="G27" s="16">
        <v>37</v>
      </c>
      <c r="H27" s="8">
        <f t="shared" ca="1" si="17"/>
        <v>7.2355150933105739E-2</v>
      </c>
      <c r="I27" s="8"/>
      <c r="J27" s="16">
        <v>52</v>
      </c>
      <c r="K27" s="8">
        <f t="shared" ca="1" si="18"/>
        <v>0.2246829495506385</v>
      </c>
      <c r="L27" s="8"/>
      <c r="M27" s="16">
        <v>67</v>
      </c>
      <c r="N27" s="9">
        <f t="shared" ca="1" si="19"/>
        <v>0.53180868545452309</v>
      </c>
      <c r="P27" s="13">
        <v>7</v>
      </c>
      <c r="Q27" s="8">
        <f t="shared" ca="1" si="20"/>
        <v>0.22272377574182278</v>
      </c>
      <c r="R27" s="8"/>
      <c r="S27" s="16">
        <v>22</v>
      </c>
      <c r="T27" s="8">
        <f t="shared" ca="1" si="21"/>
        <v>0.15862482276870504</v>
      </c>
      <c r="U27" s="8"/>
      <c r="V27" s="16">
        <v>37</v>
      </c>
      <c r="W27" s="8">
        <f t="shared" ca="1" si="22"/>
        <v>0.72664491179690038</v>
      </c>
      <c r="X27" s="8"/>
      <c r="Y27" s="16">
        <v>52</v>
      </c>
      <c r="Z27" s="8">
        <f t="shared" ca="1" si="23"/>
        <v>0.91643462602667125</v>
      </c>
      <c r="AA27" s="8"/>
      <c r="AB27" s="16">
        <v>67</v>
      </c>
      <c r="AC27" s="9">
        <f t="shared" ca="1" si="24"/>
        <v>0.74852467802490208</v>
      </c>
      <c r="AE27" s="13">
        <v>7</v>
      </c>
      <c r="AF27" s="8">
        <f t="shared" ca="1" si="25"/>
        <v>0.57057523358248463</v>
      </c>
      <c r="AG27" s="8"/>
      <c r="AH27" s="16">
        <v>22</v>
      </c>
      <c r="AI27" s="8">
        <f t="shared" ca="1" si="26"/>
        <v>0.31003684298557843</v>
      </c>
      <c r="AJ27" s="8"/>
      <c r="AK27" s="16">
        <v>37</v>
      </c>
      <c r="AL27" s="8">
        <f t="shared" ca="1" si="27"/>
        <v>0.69659020561346119</v>
      </c>
      <c r="AM27" s="8"/>
      <c r="AN27" s="16">
        <v>52</v>
      </c>
      <c r="AO27" s="8">
        <f t="shared" ca="1" si="28"/>
        <v>0.70988365218828076</v>
      </c>
      <c r="AP27" s="8"/>
      <c r="AQ27" s="16">
        <v>67</v>
      </c>
      <c r="AR27" s="9">
        <f t="shared" ca="1" si="29"/>
        <v>0.41312785148686892</v>
      </c>
    </row>
    <row r="28" spans="1:44">
      <c r="A28" s="13">
        <v>8</v>
      </c>
      <c r="B28" s="8">
        <f t="shared" ca="1" si="15"/>
        <v>0.53208876181217668</v>
      </c>
      <c r="C28" s="8"/>
      <c r="D28" s="16">
        <v>23</v>
      </c>
      <c r="E28" s="8">
        <f t="shared" ca="1" si="16"/>
        <v>0.41402758486271352</v>
      </c>
      <c r="F28" s="8"/>
      <c r="G28" s="16">
        <v>38</v>
      </c>
      <c r="H28" s="8">
        <f t="shared" ca="1" si="17"/>
        <v>0.98927538283943561</v>
      </c>
      <c r="I28" s="8"/>
      <c r="J28" s="16">
        <v>53</v>
      </c>
      <c r="K28" s="8">
        <f t="shared" ca="1" si="18"/>
        <v>0.36411968219838453</v>
      </c>
      <c r="L28" s="8"/>
      <c r="M28" s="16">
        <v>68</v>
      </c>
      <c r="N28" s="9">
        <f t="shared" ca="1" si="19"/>
        <v>0.69591119997785766</v>
      </c>
      <c r="P28" s="13">
        <v>8</v>
      </c>
      <c r="Q28" s="8">
        <f t="shared" ca="1" si="20"/>
        <v>0.90288919513447119</v>
      </c>
      <c r="R28" s="8"/>
      <c r="S28" s="16">
        <v>23</v>
      </c>
      <c r="T28" s="8">
        <f t="shared" ca="1" si="21"/>
        <v>0.68980095794006691</v>
      </c>
      <c r="U28" s="8"/>
      <c r="V28" s="16">
        <v>38</v>
      </c>
      <c r="W28" s="8">
        <f t="shared" ca="1" si="22"/>
        <v>0.18406915802977741</v>
      </c>
      <c r="X28" s="8"/>
      <c r="Y28" s="16">
        <v>53</v>
      </c>
      <c r="Z28" s="8">
        <f t="shared" ca="1" si="23"/>
        <v>0.87866735207920998</v>
      </c>
      <c r="AA28" s="8"/>
      <c r="AB28" s="16">
        <v>68</v>
      </c>
      <c r="AC28" s="9">
        <f t="shared" ca="1" si="24"/>
        <v>0.92601204184061803</v>
      </c>
      <c r="AE28" s="13">
        <v>8</v>
      </c>
      <c r="AF28" s="8">
        <f t="shared" ca="1" si="25"/>
        <v>0.65183063220733484</v>
      </c>
      <c r="AG28" s="8"/>
      <c r="AH28" s="16">
        <v>23</v>
      </c>
      <c r="AI28" s="8">
        <f t="shared" ca="1" si="26"/>
        <v>0.63644117236522491</v>
      </c>
      <c r="AJ28" s="8"/>
      <c r="AK28" s="16">
        <v>38</v>
      </c>
      <c r="AL28" s="8">
        <f t="shared" ca="1" si="27"/>
        <v>0.83259946729779899</v>
      </c>
      <c r="AM28" s="8"/>
      <c r="AN28" s="16">
        <v>53</v>
      </c>
      <c r="AO28" s="8">
        <f t="shared" ca="1" si="28"/>
        <v>0.3704342651103798</v>
      </c>
      <c r="AP28" s="8"/>
      <c r="AQ28" s="16">
        <v>68</v>
      </c>
      <c r="AR28" s="9">
        <f t="shared" ca="1" si="29"/>
        <v>0.79972970598021564</v>
      </c>
    </row>
    <row r="29" spans="1:44">
      <c r="A29" s="13">
        <v>9</v>
      </c>
      <c r="B29" s="8">
        <f t="shared" ca="1" si="15"/>
        <v>0.94678895752644776</v>
      </c>
      <c r="C29" s="8"/>
      <c r="D29" s="16">
        <v>24</v>
      </c>
      <c r="E29" s="8">
        <f t="shared" ca="1" si="16"/>
        <v>0.24343870505112775</v>
      </c>
      <c r="F29" s="8"/>
      <c r="G29" s="16">
        <v>39</v>
      </c>
      <c r="H29" s="8">
        <f t="shared" ca="1" si="17"/>
        <v>0.35576417820544426</v>
      </c>
      <c r="I29" s="8"/>
      <c r="J29" s="16">
        <v>54</v>
      </c>
      <c r="K29" s="8">
        <f t="shared" ca="1" si="18"/>
        <v>0.62449303651004173</v>
      </c>
      <c r="L29" s="8"/>
      <c r="M29" s="16">
        <v>69</v>
      </c>
      <c r="N29" s="9">
        <f t="shared" ca="1" si="19"/>
        <v>0.76663284090933537</v>
      </c>
      <c r="P29" s="13">
        <v>9</v>
      </c>
      <c r="Q29" s="8">
        <f t="shared" ca="1" si="20"/>
        <v>0.93661508602073729</v>
      </c>
      <c r="R29" s="8"/>
      <c r="S29" s="16">
        <v>24</v>
      </c>
      <c r="T29" s="8">
        <f t="shared" ca="1" si="21"/>
        <v>0.60505952367400295</v>
      </c>
      <c r="U29" s="8"/>
      <c r="V29" s="16">
        <v>39</v>
      </c>
      <c r="W29" s="8">
        <f t="shared" ca="1" si="22"/>
        <v>0.90759938431857379</v>
      </c>
      <c r="X29" s="8"/>
      <c r="Y29" s="16">
        <v>54</v>
      </c>
      <c r="Z29" s="8">
        <f t="shared" ca="1" si="23"/>
        <v>0.72122119921311079</v>
      </c>
      <c r="AA29" s="8"/>
      <c r="AB29" s="16">
        <v>69</v>
      </c>
      <c r="AC29" s="9">
        <f t="shared" ca="1" si="24"/>
        <v>0.19921425619299316</v>
      </c>
      <c r="AE29" s="13">
        <v>9</v>
      </c>
      <c r="AF29" s="8">
        <f t="shared" ca="1" si="25"/>
        <v>0.1748297237282801</v>
      </c>
      <c r="AG29" s="8"/>
      <c r="AH29" s="16">
        <v>24</v>
      </c>
      <c r="AI29" s="8">
        <f t="shared" ca="1" si="26"/>
        <v>0.22805281794288867</v>
      </c>
      <c r="AJ29" s="8"/>
      <c r="AK29" s="16">
        <v>39</v>
      </c>
      <c r="AL29" s="8">
        <f t="shared" ca="1" si="27"/>
        <v>0.38398345784448173</v>
      </c>
      <c r="AM29" s="8"/>
      <c r="AN29" s="16">
        <v>54</v>
      </c>
      <c r="AO29" s="8">
        <f t="shared" ca="1" si="28"/>
        <v>0.11467561205250631</v>
      </c>
      <c r="AP29" s="8"/>
      <c r="AQ29" s="16">
        <v>69</v>
      </c>
      <c r="AR29" s="9">
        <f t="shared" ca="1" si="29"/>
        <v>0.28925354309197204</v>
      </c>
    </row>
    <row r="30" spans="1:44">
      <c r="A30" s="13">
        <v>10</v>
      </c>
      <c r="B30" s="8">
        <f t="shared" ca="1" si="15"/>
        <v>0.12259126257692909</v>
      </c>
      <c r="C30" s="8"/>
      <c r="D30" s="16">
        <v>25</v>
      </c>
      <c r="E30" s="8">
        <f t="shared" ca="1" si="16"/>
        <v>0.90060511909344099</v>
      </c>
      <c r="F30" s="8"/>
      <c r="G30" s="16">
        <v>40</v>
      </c>
      <c r="H30" s="8">
        <f t="shared" ca="1" si="17"/>
        <v>0.92214368444772377</v>
      </c>
      <c r="I30" s="8"/>
      <c r="J30" s="16">
        <v>55</v>
      </c>
      <c r="K30" s="8">
        <f t="shared" ca="1" si="18"/>
        <v>0.17017508085698008</v>
      </c>
      <c r="L30" s="8"/>
      <c r="M30" s="16">
        <v>70</v>
      </c>
      <c r="N30" s="9">
        <f t="shared" ca="1" si="19"/>
        <v>0.67907971047515991</v>
      </c>
      <c r="P30" s="13">
        <v>10</v>
      </c>
      <c r="Q30" s="8">
        <f t="shared" ca="1" si="20"/>
        <v>0.9025008280892628</v>
      </c>
      <c r="R30" s="8"/>
      <c r="S30" s="16">
        <v>25</v>
      </c>
      <c r="T30" s="8">
        <f t="shared" ca="1" si="21"/>
        <v>1.3799901969167916E-2</v>
      </c>
      <c r="U30" s="8"/>
      <c r="V30" s="16">
        <v>40</v>
      </c>
      <c r="W30" s="8">
        <f t="shared" ca="1" si="22"/>
        <v>4.6375604710967799E-2</v>
      </c>
      <c r="X30" s="8"/>
      <c r="Y30" s="16">
        <v>55</v>
      </c>
      <c r="Z30" s="8">
        <f t="shared" ca="1" si="23"/>
        <v>0.34320554232328337</v>
      </c>
      <c r="AA30" s="8"/>
      <c r="AB30" s="16">
        <v>70</v>
      </c>
      <c r="AC30" s="9">
        <f t="shared" ca="1" si="24"/>
        <v>0.89079262915988455</v>
      </c>
      <c r="AE30" s="13">
        <v>10</v>
      </c>
      <c r="AF30" s="8">
        <f t="shared" ca="1" si="25"/>
        <v>0.13196394445779613</v>
      </c>
      <c r="AG30" s="8"/>
      <c r="AH30" s="16">
        <v>25</v>
      </c>
      <c r="AI30" s="8">
        <f t="shared" ca="1" si="26"/>
        <v>2.5250143519193746E-2</v>
      </c>
      <c r="AJ30" s="8"/>
      <c r="AK30" s="16">
        <v>40</v>
      </c>
      <c r="AL30" s="8">
        <f t="shared" ca="1" si="27"/>
        <v>0.43196355422181743</v>
      </c>
      <c r="AM30" s="8"/>
      <c r="AN30" s="16">
        <v>55</v>
      </c>
      <c r="AO30" s="8">
        <f t="shared" ca="1" si="28"/>
        <v>0.14087405036172107</v>
      </c>
      <c r="AP30" s="8"/>
      <c r="AQ30" s="16">
        <v>70</v>
      </c>
      <c r="AR30" s="9">
        <f t="shared" ca="1" si="29"/>
        <v>0.80714665518048057</v>
      </c>
    </row>
    <row r="31" spans="1:44">
      <c r="A31" s="13">
        <v>11</v>
      </c>
      <c r="B31" s="8">
        <f t="shared" ca="1" si="15"/>
        <v>0.50280121176355896</v>
      </c>
      <c r="C31" s="8"/>
      <c r="D31" s="16">
        <v>26</v>
      </c>
      <c r="E31" s="8">
        <f t="shared" ca="1" si="16"/>
        <v>0.91477076232651877</v>
      </c>
      <c r="F31" s="8"/>
      <c r="G31" s="16">
        <v>41</v>
      </c>
      <c r="H31" s="8">
        <f t="shared" ca="1" si="17"/>
        <v>3.0297503799533665E-2</v>
      </c>
      <c r="I31" s="8"/>
      <c r="J31" s="16">
        <v>56</v>
      </c>
      <c r="K31" s="8">
        <f t="shared" ca="1" si="18"/>
        <v>0.39842544701271287</v>
      </c>
      <c r="L31" s="8"/>
      <c r="M31" s="16">
        <v>71</v>
      </c>
      <c r="N31" s="9">
        <f t="shared" ca="1" si="19"/>
        <v>0.96750711114910426</v>
      </c>
      <c r="P31" s="13">
        <v>11</v>
      </c>
      <c r="Q31" s="8">
        <f t="shared" ca="1" si="20"/>
        <v>0.70014876147572802</v>
      </c>
      <c r="R31" s="8"/>
      <c r="S31" s="16">
        <v>26</v>
      </c>
      <c r="T31" s="8">
        <f t="shared" ca="1" si="21"/>
        <v>0.47776548601786495</v>
      </c>
      <c r="U31" s="8"/>
      <c r="V31" s="16">
        <v>41</v>
      </c>
      <c r="W31" s="8">
        <f t="shared" ca="1" si="22"/>
        <v>0.35460702309710568</v>
      </c>
      <c r="X31" s="8"/>
      <c r="Y31" s="16">
        <v>56</v>
      </c>
      <c r="Z31" s="8">
        <f t="shared" ca="1" si="23"/>
        <v>0.12566328275188599</v>
      </c>
      <c r="AA31" s="8"/>
      <c r="AB31" s="16">
        <v>71</v>
      </c>
      <c r="AC31" s="9">
        <f t="shared" ca="1" si="24"/>
        <v>0.98211659553153907</v>
      </c>
      <c r="AE31" s="13">
        <v>11</v>
      </c>
      <c r="AF31" s="8">
        <f t="shared" ca="1" si="25"/>
        <v>0.4508819867430307</v>
      </c>
      <c r="AG31" s="8"/>
      <c r="AH31" s="16">
        <v>26</v>
      </c>
      <c r="AI31" s="8">
        <f t="shared" ca="1" si="26"/>
        <v>0.27683806134291222</v>
      </c>
      <c r="AJ31" s="8"/>
      <c r="AK31" s="16">
        <v>41</v>
      </c>
      <c r="AL31" s="8">
        <f t="shared" ca="1" si="27"/>
        <v>0.85406184987353251</v>
      </c>
      <c r="AM31" s="8"/>
      <c r="AN31" s="16">
        <v>56</v>
      </c>
      <c r="AO31" s="8">
        <f t="shared" ca="1" si="28"/>
        <v>0.65711775437791498</v>
      </c>
      <c r="AP31" s="8"/>
      <c r="AQ31" s="16">
        <v>71</v>
      </c>
      <c r="AR31" s="9">
        <f t="shared" ca="1" si="29"/>
        <v>0.10791150388711057</v>
      </c>
    </row>
    <row r="32" spans="1:44">
      <c r="A32" s="13">
        <v>12</v>
      </c>
      <c r="B32" s="8">
        <f t="shared" ca="1" si="15"/>
        <v>0.2060291584533861</v>
      </c>
      <c r="C32" s="8"/>
      <c r="D32" s="16">
        <v>27</v>
      </c>
      <c r="E32" s="8">
        <f t="shared" ca="1" si="16"/>
        <v>0.32340831483264243</v>
      </c>
      <c r="F32" s="8"/>
      <c r="G32" s="16">
        <v>42</v>
      </c>
      <c r="H32" s="8">
        <f t="shared" ca="1" si="17"/>
        <v>2.0380471303865222E-2</v>
      </c>
      <c r="I32" s="8"/>
      <c r="J32" s="16">
        <v>57</v>
      </c>
      <c r="K32" s="8">
        <f t="shared" ca="1" si="18"/>
        <v>0.4433746446885044</v>
      </c>
      <c r="L32" s="8"/>
      <c r="M32" s="16">
        <v>72</v>
      </c>
      <c r="N32" s="9">
        <f t="shared" ca="1" si="19"/>
        <v>0.34837862802625041</v>
      </c>
      <c r="P32" s="13">
        <v>12</v>
      </c>
      <c r="Q32" s="8">
        <f t="shared" ca="1" si="20"/>
        <v>0.17026207516873382</v>
      </c>
      <c r="R32" s="8"/>
      <c r="S32" s="16">
        <v>27</v>
      </c>
      <c r="T32" s="8">
        <f t="shared" ca="1" si="21"/>
        <v>0.38819208430607366</v>
      </c>
      <c r="U32" s="8"/>
      <c r="V32" s="16">
        <v>42</v>
      </c>
      <c r="W32" s="8">
        <f t="shared" ca="1" si="22"/>
        <v>0.14404269993240515</v>
      </c>
      <c r="X32" s="8"/>
      <c r="Y32" s="16">
        <v>57</v>
      </c>
      <c r="Z32" s="8">
        <f t="shared" ca="1" si="23"/>
        <v>0.3884261591699919</v>
      </c>
      <c r="AA32" s="8"/>
      <c r="AB32" s="16">
        <v>72</v>
      </c>
      <c r="AC32" s="9">
        <f t="shared" ca="1" si="24"/>
        <v>0.83451782337400027</v>
      </c>
      <c r="AE32" s="13">
        <v>12</v>
      </c>
      <c r="AF32" s="8">
        <f t="shared" ca="1" si="25"/>
        <v>0.9930301781364802</v>
      </c>
      <c r="AG32" s="8"/>
      <c r="AH32" s="16">
        <v>27</v>
      </c>
      <c r="AI32" s="8">
        <f t="shared" ca="1" si="26"/>
        <v>0.78254547475222713</v>
      </c>
      <c r="AJ32" s="8"/>
      <c r="AK32" s="16">
        <v>42</v>
      </c>
      <c r="AL32" s="8">
        <f t="shared" ca="1" si="27"/>
        <v>0.57030594915698407</v>
      </c>
      <c r="AM32" s="8"/>
      <c r="AN32" s="16">
        <v>57</v>
      </c>
      <c r="AO32" s="8">
        <f t="shared" ca="1" si="28"/>
        <v>0.32674888691793136</v>
      </c>
      <c r="AP32" s="8"/>
      <c r="AQ32" s="16">
        <v>72</v>
      </c>
      <c r="AR32" s="9">
        <f t="shared" ca="1" si="29"/>
        <v>0.1202559287620657</v>
      </c>
    </row>
    <row r="33" spans="1:44">
      <c r="A33" s="13">
        <v>13</v>
      </c>
      <c r="B33" s="8">
        <f t="shared" ca="1" si="15"/>
        <v>0.32454763804728792</v>
      </c>
      <c r="C33" s="8"/>
      <c r="D33" s="16">
        <v>28</v>
      </c>
      <c r="E33" s="8">
        <f t="shared" ca="1" si="16"/>
        <v>0.68891447233067371</v>
      </c>
      <c r="F33" s="8"/>
      <c r="G33" s="16">
        <v>43</v>
      </c>
      <c r="H33" s="8">
        <f t="shared" ca="1" si="17"/>
        <v>0.869949661615254</v>
      </c>
      <c r="I33" s="8"/>
      <c r="J33" s="16">
        <v>58</v>
      </c>
      <c r="K33" s="8">
        <f t="shared" ca="1" si="18"/>
        <v>0.44188210254204152</v>
      </c>
      <c r="L33" s="8"/>
      <c r="M33" s="16">
        <v>73</v>
      </c>
      <c r="N33" s="9">
        <f t="shared" ca="1" si="19"/>
        <v>0.90050740305664456</v>
      </c>
      <c r="P33" s="13">
        <v>13</v>
      </c>
      <c r="Q33" s="8">
        <f t="shared" ca="1" si="20"/>
        <v>0.9245862057239026</v>
      </c>
      <c r="R33" s="8"/>
      <c r="S33" s="16">
        <v>28</v>
      </c>
      <c r="T33" s="8">
        <f t="shared" ca="1" si="21"/>
        <v>0.68382867982819961</v>
      </c>
      <c r="U33" s="8"/>
      <c r="V33" s="16">
        <v>43</v>
      </c>
      <c r="W33" s="8">
        <f t="shared" ca="1" si="22"/>
        <v>0.50819280551130874</v>
      </c>
      <c r="X33" s="8"/>
      <c r="Y33" s="16">
        <v>58</v>
      </c>
      <c r="Z33" s="8">
        <f t="shared" ca="1" si="23"/>
        <v>0.92153853191116053</v>
      </c>
      <c r="AA33" s="8"/>
      <c r="AB33" s="16">
        <v>73</v>
      </c>
      <c r="AC33" s="9">
        <f t="shared" ca="1" si="24"/>
        <v>0.55082119845966915</v>
      </c>
      <c r="AE33" s="13">
        <v>13</v>
      </c>
      <c r="AF33" s="8">
        <f t="shared" ca="1" si="25"/>
        <v>0.30494090297548371</v>
      </c>
      <c r="AG33" s="8"/>
      <c r="AH33" s="16">
        <v>28</v>
      </c>
      <c r="AI33" s="8">
        <f t="shared" ca="1" si="26"/>
        <v>0.76349731574976032</v>
      </c>
      <c r="AJ33" s="8"/>
      <c r="AK33" s="16">
        <v>43</v>
      </c>
      <c r="AL33" s="8">
        <f t="shared" ca="1" si="27"/>
        <v>0.45300943522477732</v>
      </c>
      <c r="AM33" s="8"/>
      <c r="AN33" s="16">
        <v>58</v>
      </c>
      <c r="AO33" s="8">
        <f t="shared" ca="1" si="28"/>
        <v>0.13797894009662215</v>
      </c>
      <c r="AP33" s="8"/>
      <c r="AQ33" s="16">
        <v>73</v>
      </c>
      <c r="AR33" s="9">
        <f t="shared" ca="1" si="29"/>
        <v>0.81290064283720354</v>
      </c>
    </row>
    <row r="34" spans="1:44">
      <c r="A34" s="13">
        <v>14</v>
      </c>
      <c r="B34" s="8">
        <f t="shared" ca="1" si="15"/>
        <v>0.24668780266258106</v>
      </c>
      <c r="C34" s="8"/>
      <c r="D34" s="16">
        <v>29</v>
      </c>
      <c r="E34" s="8">
        <f t="shared" ca="1" si="16"/>
        <v>0.58324397192463706</v>
      </c>
      <c r="F34" s="8"/>
      <c r="G34" s="16">
        <v>44</v>
      </c>
      <c r="H34" s="8">
        <f t="shared" ca="1" si="17"/>
        <v>0.666090173455682</v>
      </c>
      <c r="I34" s="8"/>
      <c r="J34" s="16">
        <v>59</v>
      </c>
      <c r="K34" s="8">
        <f t="shared" ca="1" si="18"/>
        <v>0.87936190116969981</v>
      </c>
      <c r="L34" s="8"/>
      <c r="M34" s="16">
        <v>74</v>
      </c>
      <c r="N34" s="9">
        <f t="shared" ca="1" si="19"/>
        <v>0.54718888681443856</v>
      </c>
      <c r="P34" s="13">
        <v>14</v>
      </c>
      <c r="Q34" s="8">
        <f t="shared" ca="1" si="20"/>
        <v>0.5964333149478791</v>
      </c>
      <c r="R34" s="8"/>
      <c r="S34" s="16">
        <v>29</v>
      </c>
      <c r="T34" s="8">
        <f t="shared" ca="1" si="21"/>
        <v>0.6999570802289764</v>
      </c>
      <c r="U34" s="8"/>
      <c r="V34" s="16">
        <v>44</v>
      </c>
      <c r="W34" s="8">
        <f t="shared" ca="1" si="22"/>
        <v>5.5714144511470942E-2</v>
      </c>
      <c r="X34" s="8"/>
      <c r="Y34" s="16">
        <v>59</v>
      </c>
      <c r="Z34" s="8">
        <f t="shared" ca="1" si="23"/>
        <v>0.95681122737798108</v>
      </c>
      <c r="AA34" s="8"/>
      <c r="AB34" s="16">
        <v>74</v>
      </c>
      <c r="AC34" s="9">
        <f t="shared" ca="1" si="24"/>
        <v>0.16290212298629103</v>
      </c>
      <c r="AE34" s="13">
        <v>14</v>
      </c>
      <c r="AF34" s="8">
        <f t="shared" ca="1" si="25"/>
        <v>0.37205269540633368</v>
      </c>
      <c r="AG34" s="8"/>
      <c r="AH34" s="16">
        <v>29</v>
      </c>
      <c r="AI34" s="8">
        <f t="shared" ca="1" si="26"/>
        <v>0.32001387977206441</v>
      </c>
      <c r="AJ34" s="8"/>
      <c r="AK34" s="16">
        <v>44</v>
      </c>
      <c r="AL34" s="8">
        <f t="shared" ca="1" si="27"/>
        <v>0.28828549194533004</v>
      </c>
      <c r="AM34" s="8"/>
      <c r="AN34" s="16">
        <v>59</v>
      </c>
      <c r="AO34" s="8">
        <f t="shared" ca="1" si="28"/>
        <v>0.3990735302393541</v>
      </c>
      <c r="AP34" s="8"/>
      <c r="AQ34" s="16">
        <v>74</v>
      </c>
      <c r="AR34" s="9">
        <f t="shared" ca="1" si="29"/>
        <v>0.37977040947096652</v>
      </c>
    </row>
    <row r="35" spans="1:44" ht="17.25" thickBot="1">
      <c r="A35" s="14">
        <v>15</v>
      </c>
      <c r="B35" s="10">
        <f t="shared" ca="1" si="15"/>
        <v>0.31145797124352315</v>
      </c>
      <c r="C35" s="10"/>
      <c r="D35" s="17">
        <v>30</v>
      </c>
      <c r="E35" s="10">
        <f t="shared" ca="1" si="16"/>
        <v>1.972354697849954E-3</v>
      </c>
      <c r="F35" s="10"/>
      <c r="G35" s="17">
        <v>45</v>
      </c>
      <c r="H35" s="10">
        <f t="shared" ca="1" si="17"/>
        <v>0.70554891159778033</v>
      </c>
      <c r="I35" s="10"/>
      <c r="J35" s="17">
        <v>60</v>
      </c>
      <c r="K35" s="10">
        <f t="shared" ca="1" si="18"/>
        <v>0.3225827748429092</v>
      </c>
      <c r="L35" s="10"/>
      <c r="M35" s="17">
        <v>75</v>
      </c>
      <c r="N35" s="11">
        <f t="shared" ca="1" si="19"/>
        <v>0.46676565430521111</v>
      </c>
      <c r="P35" s="14">
        <v>15</v>
      </c>
      <c r="Q35" s="10">
        <f t="shared" ca="1" si="20"/>
        <v>0.16968874642544429</v>
      </c>
      <c r="R35" s="10"/>
      <c r="S35" s="17">
        <v>30</v>
      </c>
      <c r="T35" s="10">
        <f t="shared" ca="1" si="21"/>
        <v>3.1121095876602833E-3</v>
      </c>
      <c r="U35" s="10"/>
      <c r="V35" s="17">
        <v>45</v>
      </c>
      <c r="W35" s="10">
        <f t="shared" ca="1" si="22"/>
        <v>0.98249317189805396</v>
      </c>
      <c r="X35" s="10"/>
      <c r="Y35" s="17">
        <v>60</v>
      </c>
      <c r="Z35" s="10">
        <f t="shared" ca="1" si="23"/>
        <v>0.31153863790914182</v>
      </c>
      <c r="AA35" s="10"/>
      <c r="AB35" s="17">
        <v>75</v>
      </c>
      <c r="AC35" s="11">
        <f t="shared" ca="1" si="24"/>
        <v>0.12608150296955978</v>
      </c>
      <c r="AE35" s="14">
        <v>15</v>
      </c>
      <c r="AF35" s="10">
        <f t="shared" ca="1" si="25"/>
        <v>0.18255553007141923</v>
      </c>
      <c r="AG35" s="10"/>
      <c r="AH35" s="17">
        <v>30</v>
      </c>
      <c r="AI35" s="10">
        <f t="shared" ca="1" si="26"/>
        <v>0.55298947737020732</v>
      </c>
      <c r="AJ35" s="10"/>
      <c r="AK35" s="17">
        <v>45</v>
      </c>
      <c r="AL35" s="10">
        <f t="shared" ca="1" si="27"/>
        <v>0.39231781697330581</v>
      </c>
      <c r="AM35" s="10"/>
      <c r="AN35" s="17">
        <v>60</v>
      </c>
      <c r="AO35" s="10">
        <f t="shared" ca="1" si="28"/>
        <v>0.78906512684212793</v>
      </c>
      <c r="AP35" s="10"/>
      <c r="AQ35" s="17">
        <v>75</v>
      </c>
      <c r="AR35" s="11">
        <f t="shared" ca="1" si="29"/>
        <v>0.40037342224331773</v>
      </c>
    </row>
  </sheetData>
  <phoneticPr fontId="2" type="noConversion"/>
  <pageMargins left="0.75" right="0.75" top="1" bottom="1" header="0.5" footer="0.5"/>
  <pageSetup orientation="portrait" r:id="rId1"/>
  <headerFooter alignWithMargins="0">
    <oddFooter>&amp;Lwww.contextures.com&amp;RContextures Inc., Copyright © 2009. All rights reserved.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O21"/>
  <sheetViews>
    <sheetView zoomScaleNormal="100" zoomScaleSheetLayoutView="70" workbookViewId="0">
      <selection activeCell="N1" sqref="N1"/>
    </sheetView>
  </sheetViews>
  <sheetFormatPr defaultRowHeight="33.75"/>
  <cols>
    <col min="1" max="1" width="4.140625" customWidth="1"/>
    <col min="2" max="6" width="8.7109375" style="5" customWidth="1"/>
    <col min="7" max="7" width="3.140625" customWidth="1"/>
    <col min="8" max="12" width="8.7109375" style="5" customWidth="1"/>
    <col min="13" max="13" width="4.140625" customWidth="1"/>
  </cols>
  <sheetData>
    <row r="1" spans="1:15" ht="28.5" customHeight="1">
      <c r="A1" s="3"/>
      <c r="B1" s="27" t="s">
        <v>0</v>
      </c>
      <c r="C1" s="27" t="s">
        <v>1</v>
      </c>
      <c r="D1" s="27" t="s">
        <v>2</v>
      </c>
      <c r="E1" s="27" t="s">
        <v>3</v>
      </c>
      <c r="F1" s="27" t="s">
        <v>4</v>
      </c>
      <c r="G1" s="28"/>
      <c r="H1" s="27" t="s">
        <v>0</v>
      </c>
      <c r="I1" s="27" t="s">
        <v>1</v>
      </c>
      <c r="J1" s="27" t="s">
        <v>2</v>
      </c>
      <c r="K1" s="27" t="s">
        <v>3</v>
      </c>
      <c r="L1" s="27" t="s">
        <v>4</v>
      </c>
      <c r="M1" s="3"/>
      <c r="N1" s="5" t="str">
        <f ca="1">MID(CELL("filename",A1),FIND("]",CELL("filename",A1))+1,255)</f>
        <v>0</v>
      </c>
      <c r="O1" s="3"/>
    </row>
    <row r="2" spans="1:15" ht="28.5" customHeight="1">
      <c r="A2" s="4"/>
      <c r="B2" s="29">
        <v>7</v>
      </c>
      <c r="C2" s="29">
        <v>23</v>
      </c>
      <c r="D2" s="29">
        <v>40</v>
      </c>
      <c r="E2" s="29">
        <v>54</v>
      </c>
      <c r="F2" s="29">
        <v>62</v>
      </c>
      <c r="G2" s="29"/>
      <c r="H2" s="29">
        <v>7</v>
      </c>
      <c r="I2" s="29">
        <v>23</v>
      </c>
      <c r="J2" s="29">
        <v>40</v>
      </c>
      <c r="K2" s="29">
        <v>54</v>
      </c>
      <c r="L2" s="29">
        <v>62</v>
      </c>
      <c r="M2" s="4"/>
      <c r="O2" s="4"/>
    </row>
    <row r="3" spans="1:15" ht="28.5" customHeight="1">
      <c r="A3" s="4"/>
      <c r="B3" s="29">
        <v>12</v>
      </c>
      <c r="C3" s="29">
        <v>27</v>
      </c>
      <c r="D3" s="29">
        <v>35</v>
      </c>
      <c r="E3" s="29">
        <v>57</v>
      </c>
      <c r="F3" s="29">
        <v>66</v>
      </c>
      <c r="G3" s="29"/>
      <c r="H3" s="29">
        <v>12</v>
      </c>
      <c r="I3" s="29">
        <v>27</v>
      </c>
      <c r="J3" s="29">
        <v>35</v>
      </c>
      <c r="K3" s="29">
        <v>57</v>
      </c>
      <c r="L3" s="29">
        <v>66</v>
      </c>
      <c r="M3" s="4"/>
      <c r="O3" s="4"/>
    </row>
    <row r="4" spans="1:15" ht="28.5" customHeight="1">
      <c r="A4" s="4"/>
      <c r="B4" s="29">
        <v>5</v>
      </c>
      <c r="C4" s="29">
        <v>17</v>
      </c>
      <c r="D4" s="29" t="s">
        <v>44</v>
      </c>
      <c r="E4" s="29">
        <v>47</v>
      </c>
      <c r="F4" s="29">
        <v>67</v>
      </c>
      <c r="G4" s="29"/>
      <c r="H4" s="29">
        <v>5</v>
      </c>
      <c r="I4" s="29">
        <v>17</v>
      </c>
      <c r="J4" s="29" t="s">
        <v>44</v>
      </c>
      <c r="K4" s="29">
        <v>47</v>
      </c>
      <c r="L4" s="29">
        <v>67</v>
      </c>
      <c r="M4" s="4"/>
      <c r="O4" s="4"/>
    </row>
    <row r="5" spans="1:15" ht="28.5" customHeight="1">
      <c r="A5" s="4"/>
      <c r="B5" s="29">
        <v>3</v>
      </c>
      <c r="C5" s="29">
        <v>22</v>
      </c>
      <c r="D5" s="29">
        <v>42</v>
      </c>
      <c r="E5" s="29">
        <v>51</v>
      </c>
      <c r="F5" s="29">
        <v>74</v>
      </c>
      <c r="G5" s="29"/>
      <c r="H5" s="29">
        <v>3</v>
      </c>
      <c r="I5" s="29">
        <v>22</v>
      </c>
      <c r="J5" s="29">
        <v>42</v>
      </c>
      <c r="K5" s="29">
        <v>51</v>
      </c>
      <c r="L5" s="29">
        <v>74</v>
      </c>
      <c r="M5" s="4"/>
      <c r="O5" s="4"/>
    </row>
    <row r="6" spans="1:15" ht="28.5" customHeight="1">
      <c r="A6" s="4"/>
      <c r="B6" s="29">
        <v>11</v>
      </c>
      <c r="C6" s="29">
        <v>16</v>
      </c>
      <c r="D6" s="29">
        <v>37</v>
      </c>
      <c r="E6" s="29">
        <v>53</v>
      </c>
      <c r="F6" s="29">
        <v>65</v>
      </c>
      <c r="G6" s="29"/>
      <c r="H6" s="29">
        <v>11</v>
      </c>
      <c r="I6" s="29">
        <v>16</v>
      </c>
      <c r="J6" s="29">
        <v>37</v>
      </c>
      <c r="K6" s="29">
        <v>53</v>
      </c>
      <c r="L6" s="29">
        <v>65</v>
      </c>
      <c r="M6" s="4"/>
      <c r="O6" s="4"/>
    </row>
    <row r="7" spans="1:15" ht="28.5" customHeight="1"/>
    <row r="8" spans="1:15" ht="28.5" customHeight="1">
      <c r="A8" s="1"/>
      <c r="B8" s="27" t="s">
        <v>0</v>
      </c>
      <c r="C8" s="27" t="s">
        <v>1</v>
      </c>
      <c r="D8" s="27" t="s">
        <v>2</v>
      </c>
      <c r="E8" s="27" t="s">
        <v>3</v>
      </c>
      <c r="F8" s="27" t="s">
        <v>4</v>
      </c>
      <c r="G8" s="28"/>
      <c r="H8" s="27" t="s">
        <v>0</v>
      </c>
      <c r="I8" s="27" t="s">
        <v>1</v>
      </c>
      <c r="J8" s="27" t="s">
        <v>2</v>
      </c>
      <c r="K8" s="27" t="s">
        <v>3</v>
      </c>
      <c r="L8" s="27" t="s">
        <v>4</v>
      </c>
      <c r="M8" s="1"/>
      <c r="O8" s="1"/>
    </row>
    <row r="9" spans="1:15" ht="28.5" customHeight="1">
      <c r="A9" s="1"/>
      <c r="B9" s="29">
        <v>4</v>
      </c>
      <c r="C9" s="29">
        <v>18</v>
      </c>
      <c r="D9" s="29">
        <v>32</v>
      </c>
      <c r="E9" s="29">
        <v>54</v>
      </c>
      <c r="F9" s="29">
        <v>69</v>
      </c>
      <c r="G9" s="29"/>
      <c r="H9" s="29">
        <v>4</v>
      </c>
      <c r="I9" s="29">
        <v>18</v>
      </c>
      <c r="J9" s="29">
        <v>32</v>
      </c>
      <c r="K9" s="29">
        <v>54</v>
      </c>
      <c r="L9" s="29">
        <v>69</v>
      </c>
      <c r="M9" s="1"/>
      <c r="O9" s="1"/>
    </row>
    <row r="10" spans="1:15" ht="28.5" customHeight="1">
      <c r="A10" s="1"/>
      <c r="B10" s="29">
        <v>1</v>
      </c>
      <c r="C10" s="29">
        <v>19</v>
      </c>
      <c r="D10" s="29">
        <v>33</v>
      </c>
      <c r="E10" s="29">
        <v>56</v>
      </c>
      <c r="F10" s="29">
        <v>71</v>
      </c>
      <c r="G10" s="29"/>
      <c r="H10" s="29">
        <v>1</v>
      </c>
      <c r="I10" s="29">
        <v>19</v>
      </c>
      <c r="J10" s="29">
        <v>33</v>
      </c>
      <c r="K10" s="29">
        <v>56</v>
      </c>
      <c r="L10" s="29">
        <v>71</v>
      </c>
      <c r="M10" s="1"/>
      <c r="O10" s="1"/>
    </row>
    <row r="11" spans="1:15" ht="28.5" customHeight="1">
      <c r="A11" s="1"/>
      <c r="B11" s="29">
        <v>6</v>
      </c>
      <c r="C11" s="29">
        <v>26</v>
      </c>
      <c r="D11" s="29" t="s">
        <v>44</v>
      </c>
      <c r="E11" s="29">
        <v>47</v>
      </c>
      <c r="F11" s="29">
        <v>65</v>
      </c>
      <c r="G11" s="29"/>
      <c r="H11" s="29">
        <v>6</v>
      </c>
      <c r="I11" s="29">
        <v>26</v>
      </c>
      <c r="J11" s="29" t="s">
        <v>44</v>
      </c>
      <c r="K11" s="29">
        <v>47</v>
      </c>
      <c r="L11" s="29">
        <v>65</v>
      </c>
      <c r="M11" s="1"/>
      <c r="O11" s="1"/>
    </row>
    <row r="12" spans="1:15" ht="28.5" customHeight="1">
      <c r="A12" s="1"/>
      <c r="B12" s="29">
        <v>2</v>
      </c>
      <c r="C12" s="29">
        <v>16</v>
      </c>
      <c r="D12" s="29">
        <v>38</v>
      </c>
      <c r="E12" s="29">
        <v>60</v>
      </c>
      <c r="F12" s="29">
        <v>64</v>
      </c>
      <c r="G12" s="29"/>
      <c r="H12" s="29">
        <v>2</v>
      </c>
      <c r="I12" s="29">
        <v>16</v>
      </c>
      <c r="J12" s="29">
        <v>38</v>
      </c>
      <c r="K12" s="29">
        <v>60</v>
      </c>
      <c r="L12" s="29">
        <v>64</v>
      </c>
      <c r="M12" s="1"/>
      <c r="O12" s="1"/>
    </row>
    <row r="13" spans="1:15" ht="28.5" customHeight="1">
      <c r="A13" s="1"/>
      <c r="B13" s="29">
        <v>11</v>
      </c>
      <c r="C13" s="29">
        <v>25</v>
      </c>
      <c r="D13" s="29">
        <v>40</v>
      </c>
      <c r="E13" s="29">
        <v>48</v>
      </c>
      <c r="F13" s="29">
        <v>62</v>
      </c>
      <c r="G13" s="29"/>
      <c r="H13" s="29">
        <v>11</v>
      </c>
      <c r="I13" s="29">
        <v>25</v>
      </c>
      <c r="J13" s="29">
        <v>40</v>
      </c>
      <c r="K13" s="29">
        <v>48</v>
      </c>
      <c r="L13" s="29">
        <v>62</v>
      </c>
      <c r="M13" s="1"/>
      <c r="O13" s="1"/>
    </row>
    <row r="14" spans="1:15" ht="28.5" customHeight="1"/>
    <row r="15" spans="1:15" ht="28.5" customHeight="1">
      <c r="A15" s="1"/>
      <c r="B15" s="27" t="s">
        <v>0</v>
      </c>
      <c r="C15" s="27" t="s">
        <v>1</v>
      </c>
      <c r="D15" s="27" t="s">
        <v>2</v>
      </c>
      <c r="E15" s="27" t="s">
        <v>3</v>
      </c>
      <c r="F15" s="27" t="s">
        <v>4</v>
      </c>
      <c r="G15" s="28"/>
      <c r="H15" s="27" t="s">
        <v>0</v>
      </c>
      <c r="I15" s="27" t="s">
        <v>1</v>
      </c>
      <c r="J15" s="27" t="s">
        <v>2</v>
      </c>
      <c r="K15" s="27" t="s">
        <v>3</v>
      </c>
      <c r="L15" s="27" t="s">
        <v>4</v>
      </c>
      <c r="M15" s="1"/>
      <c r="O15" s="1"/>
    </row>
    <row r="16" spans="1:15" ht="28.5" customHeight="1">
      <c r="A16" s="1"/>
      <c r="B16" s="29">
        <v>1</v>
      </c>
      <c r="C16" s="29">
        <v>24</v>
      </c>
      <c r="D16" s="29">
        <v>35</v>
      </c>
      <c r="E16" s="29">
        <v>49</v>
      </c>
      <c r="F16" s="29">
        <v>61</v>
      </c>
      <c r="G16" s="29"/>
      <c r="H16" s="29">
        <v>1</v>
      </c>
      <c r="I16" s="29">
        <v>24</v>
      </c>
      <c r="J16" s="29">
        <v>35</v>
      </c>
      <c r="K16" s="29">
        <v>49</v>
      </c>
      <c r="L16" s="29">
        <v>61</v>
      </c>
      <c r="M16" s="1"/>
      <c r="O16" s="1"/>
    </row>
    <row r="17" spans="1:15" ht="28.5" customHeight="1">
      <c r="A17" s="1"/>
      <c r="B17" s="29">
        <v>6</v>
      </c>
      <c r="C17" s="29">
        <v>16</v>
      </c>
      <c r="D17" s="29">
        <v>39</v>
      </c>
      <c r="E17" s="29">
        <v>52</v>
      </c>
      <c r="F17" s="29">
        <v>65</v>
      </c>
      <c r="G17" s="29"/>
      <c r="H17" s="29">
        <v>6</v>
      </c>
      <c r="I17" s="29">
        <v>16</v>
      </c>
      <c r="J17" s="29">
        <v>39</v>
      </c>
      <c r="K17" s="29">
        <v>52</v>
      </c>
      <c r="L17" s="29">
        <v>65</v>
      </c>
      <c r="M17" s="1"/>
      <c r="O17" s="1"/>
    </row>
    <row r="18" spans="1:15" ht="28.5" customHeight="1">
      <c r="A18" s="1"/>
      <c r="B18" s="29">
        <v>10</v>
      </c>
      <c r="C18" s="29">
        <v>21</v>
      </c>
      <c r="D18" s="29" t="s">
        <v>44</v>
      </c>
      <c r="E18" s="29">
        <v>56</v>
      </c>
      <c r="F18" s="29">
        <v>68</v>
      </c>
      <c r="G18" s="29"/>
      <c r="H18" s="29">
        <v>10</v>
      </c>
      <c r="I18" s="29">
        <v>21</v>
      </c>
      <c r="J18" s="29" t="s">
        <v>44</v>
      </c>
      <c r="K18" s="29">
        <v>56</v>
      </c>
      <c r="L18" s="29">
        <v>68</v>
      </c>
      <c r="M18" s="1"/>
      <c r="O18" s="1"/>
    </row>
    <row r="19" spans="1:15" ht="28.5" customHeight="1">
      <c r="A19" s="1"/>
      <c r="B19" s="29">
        <v>8</v>
      </c>
      <c r="C19" s="29">
        <v>17</v>
      </c>
      <c r="D19" s="29">
        <v>38</v>
      </c>
      <c r="E19" s="29">
        <v>47</v>
      </c>
      <c r="F19" s="29">
        <v>67</v>
      </c>
      <c r="G19" s="29"/>
      <c r="H19" s="29">
        <v>8</v>
      </c>
      <c r="I19" s="29">
        <v>17</v>
      </c>
      <c r="J19" s="29">
        <v>38</v>
      </c>
      <c r="K19" s="29">
        <v>47</v>
      </c>
      <c r="L19" s="29">
        <v>67</v>
      </c>
      <c r="M19" s="1"/>
      <c r="O19" s="1"/>
    </row>
    <row r="20" spans="1:15" ht="28.5" customHeight="1">
      <c r="A20" s="1"/>
      <c r="B20" s="29">
        <v>12</v>
      </c>
      <c r="C20" s="29">
        <v>22</v>
      </c>
      <c r="D20" s="29">
        <v>33</v>
      </c>
      <c r="E20" s="29">
        <v>46</v>
      </c>
      <c r="F20" s="29">
        <v>63</v>
      </c>
      <c r="G20" s="29"/>
      <c r="H20" s="29">
        <v>12</v>
      </c>
      <c r="I20" s="29">
        <v>22</v>
      </c>
      <c r="J20" s="29">
        <v>33</v>
      </c>
      <c r="K20" s="29">
        <v>46</v>
      </c>
      <c r="L20" s="29">
        <v>63</v>
      </c>
      <c r="M20" s="1"/>
      <c r="O20" s="1"/>
    </row>
    <row r="21" spans="1:15" ht="28.5" customHeight="1"/>
  </sheetData>
  <phoneticPr fontId="12" type="noConversion"/>
  <pageMargins left="0.7" right="0.7" top="0.75" bottom="0.75" header="0.3" footer="0.3"/>
  <pageSetup paperSize="9" scale="90" orientation="portrait" r:id="rId1"/>
  <rowBreaks count="1" manualBreakCount="1">
    <brk id="21" max="13" man="1"/>
  </row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EB576BFA-6942-4B3F-AF50-5837BDBCA88A}">
            <xm:f>HLOOKUP(B2,Cards!$O$2:$DQ$2,1,FALSE)</xm:f>
            <x14:dxf>
              <font>
                <b val="0"/>
                <i/>
                <strike val="0"/>
                <color theme="5"/>
              </font>
            </x14:dxf>
          </x14:cfRule>
          <xm:sqref>B2:L20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O21"/>
  <sheetViews>
    <sheetView zoomScaleNormal="100" zoomScaleSheetLayoutView="70" workbookViewId="0">
      <selection sqref="A1:M1048576"/>
    </sheetView>
  </sheetViews>
  <sheetFormatPr defaultRowHeight="33.75"/>
  <cols>
    <col min="1" max="1" width="4.140625" customWidth="1"/>
    <col min="2" max="6" width="8.7109375" style="5" customWidth="1"/>
    <col min="7" max="7" width="3.140625" customWidth="1"/>
    <col min="8" max="12" width="8.7109375" style="5" customWidth="1"/>
    <col min="13" max="13" width="4.140625" customWidth="1"/>
  </cols>
  <sheetData>
    <row r="1" spans="1:15" ht="28.5" customHeight="1">
      <c r="A1" s="3"/>
      <c r="B1" s="27" t="s">
        <v>0</v>
      </c>
      <c r="C1" s="27" t="s">
        <v>1</v>
      </c>
      <c r="D1" s="27" t="s">
        <v>2</v>
      </c>
      <c r="E1" s="27" t="s">
        <v>3</v>
      </c>
      <c r="F1" s="27" t="s">
        <v>4</v>
      </c>
      <c r="G1" s="28"/>
      <c r="H1" s="27" t="s">
        <v>0</v>
      </c>
      <c r="I1" s="27" t="s">
        <v>1</v>
      </c>
      <c r="J1" s="27" t="s">
        <v>2</v>
      </c>
      <c r="K1" s="27" t="s">
        <v>3</v>
      </c>
      <c r="L1" s="27" t="s">
        <v>4</v>
      </c>
      <c r="M1" s="3"/>
      <c r="N1" s="5" t="str">
        <f ca="1">MID(CELL("filename",A1),FIND("]",CELL("filename",A1))+1,255)</f>
        <v>1</v>
      </c>
      <c r="O1" s="3"/>
    </row>
    <row r="2" spans="1:15" ht="28.5" customHeight="1">
      <c r="A2" s="4"/>
      <c r="B2" s="29">
        <v>1</v>
      </c>
      <c r="C2" s="29">
        <v>22</v>
      </c>
      <c r="D2" s="29">
        <v>38</v>
      </c>
      <c r="E2" s="29">
        <v>50</v>
      </c>
      <c r="F2" s="29">
        <v>68</v>
      </c>
      <c r="G2" s="29"/>
      <c r="H2" s="29">
        <v>1</v>
      </c>
      <c r="I2" s="29">
        <v>22</v>
      </c>
      <c r="J2" s="29">
        <v>38</v>
      </c>
      <c r="K2" s="29">
        <v>50</v>
      </c>
      <c r="L2" s="29">
        <v>68</v>
      </c>
      <c r="M2" s="4"/>
      <c r="O2" s="4"/>
    </row>
    <row r="3" spans="1:15" ht="28.5" customHeight="1">
      <c r="A3" s="4"/>
      <c r="B3" s="29">
        <v>5</v>
      </c>
      <c r="C3" s="29">
        <v>20</v>
      </c>
      <c r="D3" s="29">
        <v>32</v>
      </c>
      <c r="E3" s="29">
        <v>53</v>
      </c>
      <c r="F3" s="29">
        <v>61</v>
      </c>
      <c r="G3" s="29"/>
      <c r="H3" s="29">
        <v>5</v>
      </c>
      <c r="I3" s="29">
        <v>20</v>
      </c>
      <c r="J3" s="29">
        <v>32</v>
      </c>
      <c r="K3" s="29">
        <v>53</v>
      </c>
      <c r="L3" s="29">
        <v>61</v>
      </c>
      <c r="M3" s="4"/>
      <c r="O3" s="4"/>
    </row>
    <row r="4" spans="1:15" ht="28.5" customHeight="1">
      <c r="A4" s="4"/>
      <c r="B4" s="29">
        <v>11</v>
      </c>
      <c r="C4" s="29">
        <v>28</v>
      </c>
      <c r="D4" s="29" t="s">
        <v>44</v>
      </c>
      <c r="E4" s="29">
        <v>54</v>
      </c>
      <c r="F4" s="29">
        <v>67</v>
      </c>
      <c r="G4" s="29"/>
      <c r="H4" s="29">
        <v>11</v>
      </c>
      <c r="I4" s="29">
        <v>28</v>
      </c>
      <c r="J4" s="29" t="s">
        <v>44</v>
      </c>
      <c r="K4" s="29">
        <v>54</v>
      </c>
      <c r="L4" s="29">
        <v>67</v>
      </c>
      <c r="M4" s="4"/>
      <c r="O4" s="4"/>
    </row>
    <row r="5" spans="1:15" ht="28.5" customHeight="1">
      <c r="A5" s="4"/>
      <c r="B5" s="29">
        <v>9</v>
      </c>
      <c r="C5" s="29">
        <v>18</v>
      </c>
      <c r="D5" s="29">
        <v>39</v>
      </c>
      <c r="E5" s="29">
        <v>55</v>
      </c>
      <c r="F5" s="29">
        <v>70</v>
      </c>
      <c r="G5" s="29"/>
      <c r="H5" s="29">
        <v>9</v>
      </c>
      <c r="I5" s="29">
        <v>18</v>
      </c>
      <c r="J5" s="29">
        <v>39</v>
      </c>
      <c r="K5" s="29">
        <v>55</v>
      </c>
      <c r="L5" s="29">
        <v>70</v>
      </c>
      <c r="M5" s="4"/>
      <c r="O5" s="4"/>
    </row>
    <row r="6" spans="1:15" ht="28.5" customHeight="1">
      <c r="A6" s="4"/>
      <c r="B6" s="29">
        <v>10</v>
      </c>
      <c r="C6" s="29">
        <v>23</v>
      </c>
      <c r="D6" s="29">
        <v>44</v>
      </c>
      <c r="E6" s="29">
        <v>49</v>
      </c>
      <c r="F6" s="29">
        <v>62</v>
      </c>
      <c r="G6" s="29"/>
      <c r="H6" s="29">
        <v>10</v>
      </c>
      <c r="I6" s="29">
        <v>23</v>
      </c>
      <c r="J6" s="29">
        <v>44</v>
      </c>
      <c r="K6" s="29">
        <v>49</v>
      </c>
      <c r="L6" s="29">
        <v>62</v>
      </c>
      <c r="M6" s="4"/>
      <c r="O6" s="4"/>
    </row>
    <row r="7" spans="1:15" ht="28.5" customHeight="1"/>
    <row r="8" spans="1:15" ht="28.5" customHeight="1">
      <c r="A8" s="1"/>
      <c r="B8" s="27" t="s">
        <v>0</v>
      </c>
      <c r="C8" s="27" t="s">
        <v>1</v>
      </c>
      <c r="D8" s="27" t="s">
        <v>2</v>
      </c>
      <c r="E8" s="27" t="s">
        <v>3</v>
      </c>
      <c r="F8" s="27" t="s">
        <v>4</v>
      </c>
      <c r="G8" s="28"/>
      <c r="H8" s="27" t="s">
        <v>0</v>
      </c>
      <c r="I8" s="27" t="s">
        <v>1</v>
      </c>
      <c r="J8" s="27" t="s">
        <v>2</v>
      </c>
      <c r="K8" s="27" t="s">
        <v>3</v>
      </c>
      <c r="L8" s="27" t="s">
        <v>4</v>
      </c>
      <c r="M8" s="1"/>
      <c r="O8" s="1"/>
    </row>
    <row r="9" spans="1:15" ht="28.5" customHeight="1">
      <c r="A9" s="1"/>
      <c r="B9" s="29">
        <v>6</v>
      </c>
      <c r="C9" s="29">
        <v>28</v>
      </c>
      <c r="D9" s="29">
        <v>37</v>
      </c>
      <c r="E9" s="29">
        <v>57</v>
      </c>
      <c r="F9" s="29">
        <v>71</v>
      </c>
      <c r="G9" s="29"/>
      <c r="H9" s="29">
        <v>6</v>
      </c>
      <c r="I9" s="29">
        <v>28</v>
      </c>
      <c r="J9" s="29">
        <v>37</v>
      </c>
      <c r="K9" s="29">
        <v>57</v>
      </c>
      <c r="L9" s="29">
        <v>71</v>
      </c>
      <c r="M9" s="1"/>
      <c r="O9" s="1"/>
    </row>
    <row r="10" spans="1:15" ht="28.5" customHeight="1">
      <c r="A10" s="1"/>
      <c r="B10" s="29">
        <v>13</v>
      </c>
      <c r="C10" s="29">
        <v>22</v>
      </c>
      <c r="D10" s="29">
        <v>34</v>
      </c>
      <c r="E10" s="29">
        <v>59</v>
      </c>
      <c r="F10" s="29">
        <v>66</v>
      </c>
      <c r="G10" s="29"/>
      <c r="H10" s="29">
        <v>13</v>
      </c>
      <c r="I10" s="29">
        <v>22</v>
      </c>
      <c r="J10" s="29">
        <v>34</v>
      </c>
      <c r="K10" s="29">
        <v>59</v>
      </c>
      <c r="L10" s="29">
        <v>66</v>
      </c>
      <c r="M10" s="1"/>
      <c r="O10" s="1"/>
    </row>
    <row r="11" spans="1:15" ht="28.5" customHeight="1">
      <c r="A11" s="1"/>
      <c r="B11" s="29">
        <v>12</v>
      </c>
      <c r="C11" s="29">
        <v>18</v>
      </c>
      <c r="D11" s="29" t="s">
        <v>44</v>
      </c>
      <c r="E11" s="29">
        <v>56</v>
      </c>
      <c r="F11" s="29">
        <v>68</v>
      </c>
      <c r="G11" s="29"/>
      <c r="H11" s="29">
        <v>12</v>
      </c>
      <c r="I11" s="29">
        <v>18</v>
      </c>
      <c r="J11" s="29" t="s">
        <v>44</v>
      </c>
      <c r="K11" s="29">
        <v>56</v>
      </c>
      <c r="L11" s="29">
        <v>68</v>
      </c>
      <c r="M11" s="1"/>
      <c r="O11" s="1"/>
    </row>
    <row r="12" spans="1:15" ht="28.5" customHeight="1">
      <c r="A12" s="1"/>
      <c r="B12" s="29">
        <v>4</v>
      </c>
      <c r="C12" s="29">
        <v>26</v>
      </c>
      <c r="D12" s="29">
        <v>41</v>
      </c>
      <c r="E12" s="29">
        <v>50</v>
      </c>
      <c r="F12" s="29">
        <v>73</v>
      </c>
      <c r="G12" s="29"/>
      <c r="H12" s="29">
        <v>4</v>
      </c>
      <c r="I12" s="29">
        <v>26</v>
      </c>
      <c r="J12" s="29">
        <v>41</v>
      </c>
      <c r="K12" s="29">
        <v>50</v>
      </c>
      <c r="L12" s="29">
        <v>73</v>
      </c>
      <c r="M12" s="1"/>
      <c r="O12" s="1"/>
    </row>
    <row r="13" spans="1:15" ht="28.5" customHeight="1">
      <c r="A13" s="1"/>
      <c r="B13" s="29">
        <v>14</v>
      </c>
      <c r="C13" s="29">
        <v>30</v>
      </c>
      <c r="D13" s="29">
        <v>42</v>
      </c>
      <c r="E13" s="29">
        <v>58</v>
      </c>
      <c r="F13" s="29">
        <v>72</v>
      </c>
      <c r="G13" s="29"/>
      <c r="H13" s="29">
        <v>14</v>
      </c>
      <c r="I13" s="29">
        <v>30</v>
      </c>
      <c r="J13" s="29">
        <v>42</v>
      </c>
      <c r="K13" s="29">
        <v>58</v>
      </c>
      <c r="L13" s="29">
        <v>72</v>
      </c>
      <c r="M13" s="1"/>
      <c r="O13" s="1"/>
    </row>
    <row r="14" spans="1:15" ht="28.5" customHeight="1"/>
    <row r="15" spans="1:15" ht="28.5" customHeight="1">
      <c r="A15" s="1"/>
      <c r="B15" s="27" t="s">
        <v>0</v>
      </c>
      <c r="C15" s="27" t="s">
        <v>1</v>
      </c>
      <c r="D15" s="27" t="s">
        <v>2</v>
      </c>
      <c r="E15" s="27" t="s">
        <v>3</v>
      </c>
      <c r="F15" s="27" t="s">
        <v>4</v>
      </c>
      <c r="G15" s="28"/>
      <c r="H15" s="27" t="s">
        <v>0</v>
      </c>
      <c r="I15" s="27" t="s">
        <v>1</v>
      </c>
      <c r="J15" s="27" t="s">
        <v>2</v>
      </c>
      <c r="K15" s="27" t="s">
        <v>3</v>
      </c>
      <c r="L15" s="27" t="s">
        <v>4</v>
      </c>
      <c r="M15" s="1"/>
      <c r="O15" s="1"/>
    </row>
    <row r="16" spans="1:15" ht="28.5" customHeight="1">
      <c r="A16" s="1"/>
      <c r="B16" s="29">
        <v>14</v>
      </c>
      <c r="C16" s="29">
        <v>24</v>
      </c>
      <c r="D16" s="29">
        <v>43</v>
      </c>
      <c r="E16" s="29">
        <v>60</v>
      </c>
      <c r="F16" s="29">
        <v>61</v>
      </c>
      <c r="G16" s="29"/>
      <c r="H16" s="29">
        <v>14</v>
      </c>
      <c r="I16" s="29">
        <v>24</v>
      </c>
      <c r="J16" s="29">
        <v>43</v>
      </c>
      <c r="K16" s="29">
        <v>60</v>
      </c>
      <c r="L16" s="29">
        <v>61</v>
      </c>
      <c r="M16" s="1"/>
      <c r="O16" s="1"/>
    </row>
    <row r="17" spans="1:15" ht="28.5" customHeight="1">
      <c r="A17" s="1"/>
      <c r="B17" s="29">
        <v>12</v>
      </c>
      <c r="C17" s="29">
        <v>19</v>
      </c>
      <c r="D17" s="29">
        <v>34</v>
      </c>
      <c r="E17" s="29">
        <v>48</v>
      </c>
      <c r="F17" s="29">
        <v>67</v>
      </c>
      <c r="G17" s="29"/>
      <c r="H17" s="29">
        <v>12</v>
      </c>
      <c r="I17" s="29">
        <v>19</v>
      </c>
      <c r="J17" s="29">
        <v>34</v>
      </c>
      <c r="K17" s="29">
        <v>48</v>
      </c>
      <c r="L17" s="29">
        <v>67</v>
      </c>
      <c r="M17" s="1"/>
      <c r="O17" s="1"/>
    </row>
    <row r="18" spans="1:15" ht="28.5" customHeight="1">
      <c r="A18" s="1"/>
      <c r="B18" s="29">
        <v>3</v>
      </c>
      <c r="C18" s="29">
        <v>26</v>
      </c>
      <c r="D18" s="29" t="s">
        <v>44</v>
      </c>
      <c r="E18" s="29">
        <v>58</v>
      </c>
      <c r="F18" s="29">
        <v>74</v>
      </c>
      <c r="G18" s="29"/>
      <c r="H18" s="29">
        <v>3</v>
      </c>
      <c r="I18" s="29">
        <v>26</v>
      </c>
      <c r="J18" s="29" t="s">
        <v>44</v>
      </c>
      <c r="K18" s="29">
        <v>58</v>
      </c>
      <c r="L18" s="29">
        <v>74</v>
      </c>
      <c r="M18" s="1"/>
      <c r="O18" s="1"/>
    </row>
    <row r="19" spans="1:15" ht="28.5" customHeight="1">
      <c r="A19" s="1"/>
      <c r="B19" s="29">
        <v>13</v>
      </c>
      <c r="C19" s="29">
        <v>29</v>
      </c>
      <c r="D19" s="29">
        <v>36</v>
      </c>
      <c r="E19" s="29">
        <v>47</v>
      </c>
      <c r="F19" s="29">
        <v>68</v>
      </c>
      <c r="G19" s="29"/>
      <c r="H19" s="29">
        <v>13</v>
      </c>
      <c r="I19" s="29">
        <v>29</v>
      </c>
      <c r="J19" s="29">
        <v>36</v>
      </c>
      <c r="K19" s="29">
        <v>47</v>
      </c>
      <c r="L19" s="29">
        <v>68</v>
      </c>
      <c r="M19" s="1"/>
      <c r="O19" s="1"/>
    </row>
    <row r="20" spans="1:15" ht="28.5" customHeight="1">
      <c r="A20" s="1"/>
      <c r="B20" s="29">
        <v>1</v>
      </c>
      <c r="C20" s="29">
        <v>17</v>
      </c>
      <c r="D20" s="29">
        <v>35</v>
      </c>
      <c r="E20" s="29">
        <v>59</v>
      </c>
      <c r="F20" s="29">
        <v>64</v>
      </c>
      <c r="G20" s="29"/>
      <c r="H20" s="29">
        <v>1</v>
      </c>
      <c r="I20" s="29">
        <v>17</v>
      </c>
      <c r="J20" s="29">
        <v>35</v>
      </c>
      <c r="K20" s="29">
        <v>59</v>
      </c>
      <c r="L20" s="29">
        <v>64</v>
      </c>
      <c r="M20" s="1"/>
      <c r="O20" s="1"/>
    </row>
    <row r="21" spans="1:15" ht="28.5" customHeight="1"/>
  </sheetData>
  <phoneticPr fontId="20" type="noConversion"/>
  <pageMargins left="0.7" right="0.7" top="0.75" bottom="0.75" header="0.3" footer="0.3"/>
  <pageSetup paperSize="9" scale="90" orientation="portrait" r:id="rId1"/>
  <rowBreaks count="1" manualBreakCount="1">
    <brk id="21" max="13" man="1"/>
  </row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D630648D-24D2-4D94-A5D4-B47C6E3EFD0C}">
            <xm:f>HLOOKUP(B2,Cards!$O$2:$DQ$2,1,FALSE)</xm:f>
            <x14:dxf>
              <font>
                <b val="0"/>
                <i/>
                <strike val="0"/>
                <color theme="5"/>
              </font>
            </x14:dxf>
          </x14:cfRule>
          <xm:sqref>B2:L20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O21"/>
  <sheetViews>
    <sheetView zoomScaleNormal="100" zoomScaleSheetLayoutView="70" workbookViewId="0">
      <selection sqref="A1:M1048576"/>
    </sheetView>
  </sheetViews>
  <sheetFormatPr defaultRowHeight="33.75"/>
  <cols>
    <col min="1" max="1" width="4.140625" customWidth="1"/>
    <col min="2" max="6" width="8.7109375" style="5" customWidth="1"/>
    <col min="7" max="7" width="3.140625" customWidth="1"/>
    <col min="8" max="12" width="8.7109375" style="5" customWidth="1"/>
    <col min="13" max="13" width="4.140625" customWidth="1"/>
  </cols>
  <sheetData>
    <row r="1" spans="1:15" ht="28.5" customHeight="1">
      <c r="A1" s="3"/>
      <c r="B1" s="27" t="s">
        <v>0</v>
      </c>
      <c r="C1" s="27" t="s">
        <v>1</v>
      </c>
      <c r="D1" s="27" t="s">
        <v>2</v>
      </c>
      <c r="E1" s="27" t="s">
        <v>3</v>
      </c>
      <c r="F1" s="27" t="s">
        <v>4</v>
      </c>
      <c r="G1" s="28"/>
      <c r="H1" s="27" t="s">
        <v>0</v>
      </c>
      <c r="I1" s="27" t="s">
        <v>1</v>
      </c>
      <c r="J1" s="27" t="s">
        <v>2</v>
      </c>
      <c r="K1" s="27" t="s">
        <v>3</v>
      </c>
      <c r="L1" s="27" t="s">
        <v>4</v>
      </c>
      <c r="M1" s="3"/>
      <c r="N1" s="5" t="str">
        <f ca="1">MID(CELL("filename",A1),FIND("]",CELL("filename",A1))+1,255)</f>
        <v>2</v>
      </c>
      <c r="O1" s="3"/>
    </row>
    <row r="2" spans="1:15" ht="28.5" customHeight="1">
      <c r="A2" s="4"/>
      <c r="B2" s="29">
        <v>5</v>
      </c>
      <c r="C2" s="29">
        <v>25</v>
      </c>
      <c r="D2" s="29">
        <v>45</v>
      </c>
      <c r="E2" s="29">
        <v>52</v>
      </c>
      <c r="F2" s="29">
        <v>65</v>
      </c>
      <c r="G2" s="29"/>
      <c r="H2" s="29">
        <v>5</v>
      </c>
      <c r="I2" s="29">
        <v>25</v>
      </c>
      <c r="J2" s="29">
        <v>45</v>
      </c>
      <c r="K2" s="29">
        <v>52</v>
      </c>
      <c r="L2" s="29">
        <v>65</v>
      </c>
      <c r="M2" s="4"/>
      <c r="O2" s="4"/>
    </row>
    <row r="3" spans="1:15" ht="28.5" customHeight="1">
      <c r="A3" s="4"/>
      <c r="B3" s="29">
        <v>15</v>
      </c>
      <c r="C3" s="29">
        <v>21</v>
      </c>
      <c r="D3" s="29">
        <v>33</v>
      </c>
      <c r="E3" s="29">
        <v>54</v>
      </c>
      <c r="F3" s="29">
        <v>69</v>
      </c>
      <c r="G3" s="29"/>
      <c r="H3" s="29">
        <v>15</v>
      </c>
      <c r="I3" s="29">
        <v>21</v>
      </c>
      <c r="J3" s="29">
        <v>33</v>
      </c>
      <c r="K3" s="29">
        <v>54</v>
      </c>
      <c r="L3" s="29">
        <v>69</v>
      </c>
      <c r="M3" s="4"/>
      <c r="O3" s="4"/>
    </row>
    <row r="4" spans="1:15" ht="28.5" customHeight="1">
      <c r="A4" s="4"/>
      <c r="B4" s="29">
        <v>6</v>
      </c>
      <c r="C4" s="29">
        <v>23</v>
      </c>
      <c r="D4" s="29" t="s">
        <v>44</v>
      </c>
      <c r="E4" s="29">
        <v>58</v>
      </c>
      <c r="F4" s="29">
        <v>68</v>
      </c>
      <c r="G4" s="29"/>
      <c r="H4" s="29">
        <v>6</v>
      </c>
      <c r="I4" s="29">
        <v>23</v>
      </c>
      <c r="J4" s="29" t="s">
        <v>44</v>
      </c>
      <c r="K4" s="29">
        <v>58</v>
      </c>
      <c r="L4" s="29">
        <v>68</v>
      </c>
      <c r="M4" s="4"/>
      <c r="O4" s="4"/>
    </row>
    <row r="5" spans="1:15" ht="28.5" customHeight="1">
      <c r="A5" s="4"/>
      <c r="B5" s="29">
        <v>14</v>
      </c>
      <c r="C5" s="29">
        <v>27</v>
      </c>
      <c r="D5" s="29">
        <v>41</v>
      </c>
      <c r="E5" s="29">
        <v>57</v>
      </c>
      <c r="F5" s="29">
        <v>64</v>
      </c>
      <c r="G5" s="29"/>
      <c r="H5" s="29">
        <v>14</v>
      </c>
      <c r="I5" s="29">
        <v>27</v>
      </c>
      <c r="J5" s="29">
        <v>41</v>
      </c>
      <c r="K5" s="29">
        <v>57</v>
      </c>
      <c r="L5" s="29">
        <v>64</v>
      </c>
      <c r="M5" s="4"/>
      <c r="O5" s="4"/>
    </row>
    <row r="6" spans="1:15" ht="28.5" customHeight="1">
      <c r="A6" s="4"/>
      <c r="B6" s="29">
        <v>12</v>
      </c>
      <c r="C6" s="29">
        <v>29</v>
      </c>
      <c r="D6" s="29">
        <v>39</v>
      </c>
      <c r="E6" s="29">
        <v>55</v>
      </c>
      <c r="F6" s="29">
        <v>66</v>
      </c>
      <c r="G6" s="29"/>
      <c r="H6" s="29">
        <v>12</v>
      </c>
      <c r="I6" s="29">
        <v>29</v>
      </c>
      <c r="J6" s="29">
        <v>39</v>
      </c>
      <c r="K6" s="29">
        <v>55</v>
      </c>
      <c r="L6" s="29">
        <v>66</v>
      </c>
      <c r="M6" s="4"/>
      <c r="O6" s="4"/>
    </row>
    <row r="7" spans="1:15" ht="28.5" customHeight="1"/>
    <row r="8" spans="1:15" ht="28.5" customHeight="1">
      <c r="A8" s="1"/>
      <c r="B8" s="27" t="s">
        <v>0</v>
      </c>
      <c r="C8" s="27" t="s">
        <v>1</v>
      </c>
      <c r="D8" s="27" t="s">
        <v>2</v>
      </c>
      <c r="E8" s="27" t="s">
        <v>3</v>
      </c>
      <c r="F8" s="27" t="s">
        <v>4</v>
      </c>
      <c r="G8" s="28"/>
      <c r="H8" s="27" t="s">
        <v>0</v>
      </c>
      <c r="I8" s="27" t="s">
        <v>1</v>
      </c>
      <c r="J8" s="27" t="s">
        <v>2</v>
      </c>
      <c r="K8" s="27" t="s">
        <v>3</v>
      </c>
      <c r="L8" s="27" t="s">
        <v>4</v>
      </c>
      <c r="M8" s="1"/>
      <c r="O8" s="1"/>
    </row>
    <row r="9" spans="1:15" ht="28.5" customHeight="1">
      <c r="A9" s="1"/>
      <c r="B9" s="29">
        <v>15</v>
      </c>
      <c r="C9" s="29">
        <v>20</v>
      </c>
      <c r="D9" s="29">
        <v>40</v>
      </c>
      <c r="E9" s="29">
        <v>60</v>
      </c>
      <c r="F9" s="29">
        <v>71</v>
      </c>
      <c r="G9" s="29"/>
      <c r="H9" s="29">
        <v>15</v>
      </c>
      <c r="I9" s="29">
        <v>20</v>
      </c>
      <c r="J9" s="29">
        <v>40</v>
      </c>
      <c r="K9" s="29">
        <v>60</v>
      </c>
      <c r="L9" s="29">
        <v>71</v>
      </c>
      <c r="M9" s="1"/>
      <c r="O9" s="1"/>
    </row>
    <row r="10" spans="1:15" ht="28.5" customHeight="1">
      <c r="A10" s="1"/>
      <c r="B10" s="29">
        <v>5</v>
      </c>
      <c r="C10" s="29">
        <v>21</v>
      </c>
      <c r="D10" s="29">
        <v>43</v>
      </c>
      <c r="E10" s="29">
        <v>52</v>
      </c>
      <c r="F10" s="29">
        <v>61</v>
      </c>
      <c r="G10" s="29"/>
      <c r="H10" s="29">
        <v>5</v>
      </c>
      <c r="I10" s="29">
        <v>21</v>
      </c>
      <c r="J10" s="29">
        <v>43</v>
      </c>
      <c r="K10" s="29">
        <v>52</v>
      </c>
      <c r="L10" s="29">
        <v>61</v>
      </c>
      <c r="M10" s="1"/>
      <c r="O10" s="1"/>
    </row>
    <row r="11" spans="1:15" ht="28.5" customHeight="1">
      <c r="A11" s="1"/>
      <c r="B11" s="29">
        <v>6</v>
      </c>
      <c r="C11" s="29">
        <v>27</v>
      </c>
      <c r="D11" s="29" t="s">
        <v>44</v>
      </c>
      <c r="E11" s="29">
        <v>57</v>
      </c>
      <c r="F11" s="29">
        <v>75</v>
      </c>
      <c r="G11" s="29"/>
      <c r="H11" s="29">
        <v>6</v>
      </c>
      <c r="I11" s="29">
        <v>27</v>
      </c>
      <c r="J11" s="29" t="s">
        <v>44</v>
      </c>
      <c r="K11" s="29">
        <v>57</v>
      </c>
      <c r="L11" s="29">
        <v>75</v>
      </c>
      <c r="M11" s="1"/>
      <c r="O11" s="1"/>
    </row>
    <row r="12" spans="1:15" ht="28.5" customHeight="1">
      <c r="A12" s="1"/>
      <c r="B12" s="29">
        <v>13</v>
      </c>
      <c r="C12" s="29">
        <v>24</v>
      </c>
      <c r="D12" s="29">
        <v>36</v>
      </c>
      <c r="E12" s="29">
        <v>56</v>
      </c>
      <c r="F12" s="29">
        <v>70</v>
      </c>
      <c r="G12" s="29"/>
      <c r="H12" s="29">
        <v>13</v>
      </c>
      <c r="I12" s="29">
        <v>24</v>
      </c>
      <c r="J12" s="29">
        <v>36</v>
      </c>
      <c r="K12" s="29">
        <v>56</v>
      </c>
      <c r="L12" s="29">
        <v>70</v>
      </c>
      <c r="M12" s="1"/>
      <c r="O12" s="1"/>
    </row>
    <row r="13" spans="1:15" ht="28.5" customHeight="1">
      <c r="A13" s="1"/>
      <c r="B13" s="29">
        <v>12</v>
      </c>
      <c r="C13" s="29">
        <v>26</v>
      </c>
      <c r="D13" s="29">
        <v>45</v>
      </c>
      <c r="E13" s="29">
        <v>48</v>
      </c>
      <c r="F13" s="29">
        <v>65</v>
      </c>
      <c r="G13" s="29"/>
      <c r="H13" s="29">
        <v>12</v>
      </c>
      <c r="I13" s="29">
        <v>26</v>
      </c>
      <c r="J13" s="29">
        <v>45</v>
      </c>
      <c r="K13" s="29">
        <v>48</v>
      </c>
      <c r="L13" s="29">
        <v>65</v>
      </c>
      <c r="M13" s="1"/>
      <c r="O13" s="1"/>
    </row>
    <row r="14" spans="1:15" ht="28.5" customHeight="1"/>
    <row r="15" spans="1:15" ht="28.5" customHeight="1">
      <c r="A15" s="1"/>
      <c r="B15" s="27" t="s">
        <v>0</v>
      </c>
      <c r="C15" s="27" t="s">
        <v>1</v>
      </c>
      <c r="D15" s="27" t="s">
        <v>2</v>
      </c>
      <c r="E15" s="27" t="s">
        <v>3</v>
      </c>
      <c r="F15" s="27" t="s">
        <v>4</v>
      </c>
      <c r="G15" s="28"/>
      <c r="H15" s="27" t="s">
        <v>0</v>
      </c>
      <c r="I15" s="27" t="s">
        <v>1</v>
      </c>
      <c r="J15" s="27" t="s">
        <v>2</v>
      </c>
      <c r="K15" s="27" t="s">
        <v>3</v>
      </c>
      <c r="L15" s="27" t="s">
        <v>4</v>
      </c>
      <c r="M15" s="1"/>
      <c r="O15" s="1"/>
    </row>
    <row r="16" spans="1:15" ht="28.5" customHeight="1">
      <c r="A16" s="1"/>
      <c r="B16" s="29">
        <v>6</v>
      </c>
      <c r="C16" s="29">
        <v>28</v>
      </c>
      <c r="D16" s="29">
        <v>44</v>
      </c>
      <c r="E16" s="29">
        <v>55</v>
      </c>
      <c r="F16" s="29">
        <v>70</v>
      </c>
      <c r="G16" s="29"/>
      <c r="H16" s="29">
        <v>6</v>
      </c>
      <c r="I16" s="29">
        <v>28</v>
      </c>
      <c r="J16" s="29">
        <v>44</v>
      </c>
      <c r="K16" s="29">
        <v>55</v>
      </c>
      <c r="L16" s="29">
        <v>70</v>
      </c>
      <c r="M16" s="1"/>
      <c r="O16" s="1"/>
    </row>
    <row r="17" spans="1:15" ht="28.5" customHeight="1">
      <c r="A17" s="1"/>
      <c r="B17" s="29">
        <v>13</v>
      </c>
      <c r="C17" s="29">
        <v>24</v>
      </c>
      <c r="D17" s="29">
        <v>45</v>
      </c>
      <c r="E17" s="29">
        <v>50</v>
      </c>
      <c r="F17" s="29">
        <v>66</v>
      </c>
      <c r="G17" s="29"/>
      <c r="H17" s="29">
        <v>13</v>
      </c>
      <c r="I17" s="29">
        <v>24</v>
      </c>
      <c r="J17" s="29">
        <v>45</v>
      </c>
      <c r="K17" s="29">
        <v>50</v>
      </c>
      <c r="L17" s="29">
        <v>66</v>
      </c>
      <c r="M17" s="1"/>
      <c r="O17" s="1"/>
    </row>
    <row r="18" spans="1:15" ht="28.5" customHeight="1">
      <c r="A18" s="1"/>
      <c r="B18" s="29">
        <v>5</v>
      </c>
      <c r="C18" s="29">
        <v>25</v>
      </c>
      <c r="D18" s="29" t="s">
        <v>44</v>
      </c>
      <c r="E18" s="29">
        <v>51</v>
      </c>
      <c r="F18" s="29">
        <v>72</v>
      </c>
      <c r="G18" s="29"/>
      <c r="H18" s="29">
        <v>5</v>
      </c>
      <c r="I18" s="29">
        <v>25</v>
      </c>
      <c r="J18" s="29" t="s">
        <v>44</v>
      </c>
      <c r="K18" s="29">
        <v>51</v>
      </c>
      <c r="L18" s="29">
        <v>72</v>
      </c>
      <c r="M18" s="1"/>
      <c r="O18" s="1"/>
    </row>
    <row r="19" spans="1:15" ht="28.5" customHeight="1">
      <c r="A19" s="1"/>
      <c r="B19" s="29">
        <v>4</v>
      </c>
      <c r="C19" s="29">
        <v>16</v>
      </c>
      <c r="D19" s="29">
        <v>42</v>
      </c>
      <c r="E19" s="29">
        <v>57</v>
      </c>
      <c r="F19" s="29">
        <v>75</v>
      </c>
      <c r="G19" s="29"/>
      <c r="H19" s="29">
        <v>4</v>
      </c>
      <c r="I19" s="29">
        <v>16</v>
      </c>
      <c r="J19" s="29">
        <v>42</v>
      </c>
      <c r="K19" s="29">
        <v>57</v>
      </c>
      <c r="L19" s="29">
        <v>75</v>
      </c>
      <c r="M19" s="1"/>
      <c r="O19" s="1"/>
    </row>
    <row r="20" spans="1:15" ht="28.5" customHeight="1">
      <c r="A20" s="1"/>
      <c r="B20" s="29">
        <v>1</v>
      </c>
      <c r="C20" s="29">
        <v>20</v>
      </c>
      <c r="D20" s="29">
        <v>39</v>
      </c>
      <c r="E20" s="29">
        <v>49</v>
      </c>
      <c r="F20" s="29">
        <v>71</v>
      </c>
      <c r="G20" s="29"/>
      <c r="H20" s="29">
        <v>1</v>
      </c>
      <c r="I20" s="29">
        <v>20</v>
      </c>
      <c r="J20" s="29">
        <v>39</v>
      </c>
      <c r="K20" s="29">
        <v>49</v>
      </c>
      <c r="L20" s="29">
        <v>71</v>
      </c>
      <c r="M20" s="1"/>
      <c r="O20" s="1"/>
    </row>
    <row r="21" spans="1:15" ht="28.5" customHeight="1"/>
  </sheetData>
  <phoneticPr fontId="20" type="noConversion"/>
  <pageMargins left="0.7" right="0.7" top="0.75" bottom="0.75" header="0.3" footer="0.3"/>
  <pageSetup paperSize="9" scale="90" orientation="portrait" r:id="rId1"/>
  <rowBreaks count="1" manualBreakCount="1">
    <brk id="21" max="13" man="1"/>
  </row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6543EBE7-67C8-4899-9222-65C4B4CBDB04}">
            <xm:f>HLOOKUP(B2,Cards!$O$2:$DQ$2,1,FALSE)</xm:f>
            <x14:dxf>
              <font>
                <b val="0"/>
                <i/>
                <strike val="0"/>
                <color theme="5"/>
              </font>
            </x14:dxf>
          </x14:cfRule>
          <xm:sqref>B2:L20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O21"/>
  <sheetViews>
    <sheetView zoomScaleNormal="100" zoomScaleSheetLayoutView="70" workbookViewId="0">
      <selection activeCell="P10" sqref="P10"/>
    </sheetView>
  </sheetViews>
  <sheetFormatPr defaultRowHeight="33.75"/>
  <cols>
    <col min="1" max="1" width="4.140625" customWidth="1"/>
    <col min="2" max="6" width="8.7109375" style="5" customWidth="1"/>
    <col min="7" max="7" width="3.140625" customWidth="1"/>
    <col min="8" max="12" width="8.7109375" style="5" customWidth="1"/>
    <col min="13" max="13" width="4.140625" customWidth="1"/>
  </cols>
  <sheetData>
    <row r="1" spans="1:15" ht="28.5" customHeight="1">
      <c r="A1" s="3"/>
      <c r="B1" s="27" t="s">
        <v>0</v>
      </c>
      <c r="C1" s="27" t="s">
        <v>1</v>
      </c>
      <c r="D1" s="27" t="s">
        <v>2</v>
      </c>
      <c r="E1" s="27" t="s">
        <v>3</v>
      </c>
      <c r="F1" s="27" t="s">
        <v>4</v>
      </c>
      <c r="G1" s="28"/>
      <c r="H1" s="27" t="s">
        <v>0</v>
      </c>
      <c r="I1" s="27" t="s">
        <v>1</v>
      </c>
      <c r="J1" s="27" t="s">
        <v>2</v>
      </c>
      <c r="K1" s="27" t="s">
        <v>3</v>
      </c>
      <c r="L1" s="27" t="s">
        <v>4</v>
      </c>
      <c r="M1" s="3"/>
      <c r="N1" s="5" t="str">
        <f ca="1">MID(CELL("filename",A1),FIND("]",CELL("filename",A1))+1,255)</f>
        <v>3</v>
      </c>
      <c r="O1" s="3"/>
    </row>
    <row r="2" spans="1:15" ht="28.5" customHeight="1">
      <c r="A2" s="4"/>
      <c r="B2" s="29">
        <v>5</v>
      </c>
      <c r="C2" s="29">
        <v>28</v>
      </c>
      <c r="D2" s="29">
        <v>32</v>
      </c>
      <c r="E2" s="29">
        <v>51</v>
      </c>
      <c r="F2" s="29">
        <v>72</v>
      </c>
      <c r="G2" s="29"/>
      <c r="H2" s="29">
        <v>5</v>
      </c>
      <c r="I2" s="29">
        <v>28</v>
      </c>
      <c r="J2" s="29">
        <v>32</v>
      </c>
      <c r="K2" s="29">
        <v>51</v>
      </c>
      <c r="L2" s="29">
        <v>72</v>
      </c>
      <c r="M2" s="4"/>
      <c r="O2" s="4"/>
    </row>
    <row r="3" spans="1:15" ht="28.5" customHeight="1">
      <c r="A3" s="4"/>
      <c r="B3" s="29">
        <v>13</v>
      </c>
      <c r="C3" s="29">
        <v>30</v>
      </c>
      <c r="D3" s="29">
        <v>39</v>
      </c>
      <c r="E3" s="29">
        <v>46</v>
      </c>
      <c r="F3" s="29">
        <v>61</v>
      </c>
      <c r="G3" s="29"/>
      <c r="H3" s="29">
        <v>13</v>
      </c>
      <c r="I3" s="29">
        <v>30</v>
      </c>
      <c r="J3" s="29">
        <v>39</v>
      </c>
      <c r="K3" s="29">
        <v>46</v>
      </c>
      <c r="L3" s="29">
        <v>61</v>
      </c>
      <c r="M3" s="4"/>
      <c r="O3" s="4"/>
    </row>
    <row r="4" spans="1:15" ht="28.5" customHeight="1">
      <c r="A4" s="4"/>
      <c r="B4" s="29">
        <v>8</v>
      </c>
      <c r="C4" s="29">
        <v>22</v>
      </c>
      <c r="D4" s="29" t="s">
        <v>44</v>
      </c>
      <c r="E4" s="29">
        <v>50</v>
      </c>
      <c r="F4" s="29">
        <v>66</v>
      </c>
      <c r="G4" s="29"/>
      <c r="H4" s="29">
        <v>8</v>
      </c>
      <c r="I4" s="29">
        <v>22</v>
      </c>
      <c r="J4" s="29" t="s">
        <v>44</v>
      </c>
      <c r="K4" s="29">
        <v>50</v>
      </c>
      <c r="L4" s="29">
        <v>66</v>
      </c>
      <c r="M4" s="4"/>
      <c r="O4" s="4"/>
    </row>
    <row r="5" spans="1:15" ht="28.5" customHeight="1">
      <c r="A5" s="4"/>
      <c r="B5" s="29">
        <v>4</v>
      </c>
      <c r="C5" s="29">
        <v>27</v>
      </c>
      <c r="D5" s="29">
        <v>38</v>
      </c>
      <c r="E5" s="29">
        <v>52</v>
      </c>
      <c r="F5" s="29">
        <v>62</v>
      </c>
      <c r="G5" s="29"/>
      <c r="H5" s="29">
        <v>4</v>
      </c>
      <c r="I5" s="29">
        <v>27</v>
      </c>
      <c r="J5" s="29">
        <v>38</v>
      </c>
      <c r="K5" s="29">
        <v>52</v>
      </c>
      <c r="L5" s="29">
        <v>62</v>
      </c>
      <c r="M5" s="4"/>
      <c r="O5" s="4"/>
    </row>
    <row r="6" spans="1:15" ht="28.5" customHeight="1">
      <c r="A6" s="4"/>
      <c r="B6" s="29">
        <v>11</v>
      </c>
      <c r="C6" s="29">
        <v>23</v>
      </c>
      <c r="D6" s="29">
        <v>42</v>
      </c>
      <c r="E6" s="29">
        <v>48</v>
      </c>
      <c r="F6" s="29">
        <v>71</v>
      </c>
      <c r="G6" s="29"/>
      <c r="H6" s="29">
        <v>11</v>
      </c>
      <c r="I6" s="29">
        <v>23</v>
      </c>
      <c r="J6" s="29">
        <v>42</v>
      </c>
      <c r="K6" s="29">
        <v>48</v>
      </c>
      <c r="L6" s="29">
        <v>71</v>
      </c>
      <c r="M6" s="4"/>
      <c r="O6" s="4"/>
    </row>
    <row r="7" spans="1:15" ht="28.5" customHeight="1"/>
    <row r="8" spans="1:15" ht="28.5" customHeight="1">
      <c r="A8" s="1"/>
      <c r="B8" s="27" t="s">
        <v>0</v>
      </c>
      <c r="C8" s="27" t="s">
        <v>1</v>
      </c>
      <c r="D8" s="27" t="s">
        <v>2</v>
      </c>
      <c r="E8" s="27" t="s">
        <v>3</v>
      </c>
      <c r="F8" s="27" t="s">
        <v>4</v>
      </c>
      <c r="G8" s="28"/>
      <c r="H8" s="27" t="s">
        <v>0</v>
      </c>
      <c r="I8" s="27" t="s">
        <v>1</v>
      </c>
      <c r="J8" s="27" t="s">
        <v>2</v>
      </c>
      <c r="K8" s="27" t="s">
        <v>3</v>
      </c>
      <c r="L8" s="27" t="s">
        <v>4</v>
      </c>
      <c r="M8" s="1"/>
      <c r="O8" s="1"/>
    </row>
    <row r="9" spans="1:15" ht="28.5" customHeight="1">
      <c r="A9" s="1"/>
      <c r="B9" s="29">
        <v>14</v>
      </c>
      <c r="C9" s="29">
        <v>19</v>
      </c>
      <c r="D9" s="29">
        <v>43</v>
      </c>
      <c r="E9" s="29">
        <v>55</v>
      </c>
      <c r="F9" s="29">
        <v>66</v>
      </c>
      <c r="G9" s="29"/>
      <c r="H9" s="29">
        <v>14</v>
      </c>
      <c r="I9" s="29">
        <v>19</v>
      </c>
      <c r="J9" s="29">
        <v>43</v>
      </c>
      <c r="K9" s="29">
        <v>55</v>
      </c>
      <c r="L9" s="29">
        <v>66</v>
      </c>
      <c r="M9" s="1"/>
      <c r="O9" s="1"/>
    </row>
    <row r="10" spans="1:15" ht="28.5" customHeight="1">
      <c r="A10" s="1"/>
      <c r="B10" s="29">
        <v>1</v>
      </c>
      <c r="C10" s="29">
        <v>22</v>
      </c>
      <c r="D10" s="29">
        <v>31</v>
      </c>
      <c r="E10" s="29">
        <v>57</v>
      </c>
      <c r="F10" s="29">
        <v>74</v>
      </c>
      <c r="G10" s="29"/>
      <c r="H10" s="29">
        <v>1</v>
      </c>
      <c r="I10" s="29">
        <v>22</v>
      </c>
      <c r="J10" s="29">
        <v>31</v>
      </c>
      <c r="K10" s="29">
        <v>57</v>
      </c>
      <c r="L10" s="29">
        <v>74</v>
      </c>
      <c r="M10" s="1"/>
      <c r="O10" s="1"/>
    </row>
    <row r="11" spans="1:15" ht="28.5" customHeight="1">
      <c r="A11" s="1"/>
      <c r="B11" s="29">
        <v>7</v>
      </c>
      <c r="C11" s="29">
        <v>16</v>
      </c>
      <c r="D11" s="29" t="s">
        <v>44</v>
      </c>
      <c r="E11" s="29">
        <v>54</v>
      </c>
      <c r="F11" s="29">
        <v>71</v>
      </c>
      <c r="G11" s="29"/>
      <c r="H11" s="29">
        <v>7</v>
      </c>
      <c r="I11" s="29">
        <v>16</v>
      </c>
      <c r="J11" s="29" t="s">
        <v>44</v>
      </c>
      <c r="K11" s="29">
        <v>54</v>
      </c>
      <c r="L11" s="29">
        <v>71</v>
      </c>
      <c r="M11" s="1"/>
      <c r="O11" s="1"/>
    </row>
    <row r="12" spans="1:15" ht="28.5" customHeight="1">
      <c r="A12" s="1"/>
      <c r="B12" s="29">
        <v>4</v>
      </c>
      <c r="C12" s="29">
        <v>29</v>
      </c>
      <c r="D12" s="29">
        <v>35</v>
      </c>
      <c r="E12" s="29">
        <v>53</v>
      </c>
      <c r="F12" s="29">
        <v>72</v>
      </c>
      <c r="G12" s="29"/>
      <c r="H12" s="29">
        <v>4</v>
      </c>
      <c r="I12" s="29">
        <v>29</v>
      </c>
      <c r="J12" s="29">
        <v>35</v>
      </c>
      <c r="K12" s="29">
        <v>53</v>
      </c>
      <c r="L12" s="29">
        <v>72</v>
      </c>
      <c r="M12" s="1"/>
      <c r="O12" s="1"/>
    </row>
    <row r="13" spans="1:15" ht="28.5" customHeight="1">
      <c r="A13" s="1"/>
      <c r="B13" s="29">
        <v>13</v>
      </c>
      <c r="C13" s="29">
        <v>26</v>
      </c>
      <c r="D13" s="29">
        <v>44</v>
      </c>
      <c r="E13" s="29">
        <v>60</v>
      </c>
      <c r="F13" s="29">
        <v>64</v>
      </c>
      <c r="G13" s="29"/>
      <c r="H13" s="29">
        <v>13</v>
      </c>
      <c r="I13" s="29">
        <v>26</v>
      </c>
      <c r="J13" s="29">
        <v>44</v>
      </c>
      <c r="K13" s="29">
        <v>60</v>
      </c>
      <c r="L13" s="29">
        <v>64</v>
      </c>
      <c r="M13" s="1"/>
      <c r="O13" s="1"/>
    </row>
    <row r="14" spans="1:15" ht="28.5" customHeight="1"/>
    <row r="15" spans="1:15" ht="28.5" customHeight="1">
      <c r="A15" s="1"/>
      <c r="B15" s="27" t="s">
        <v>0</v>
      </c>
      <c r="C15" s="27" t="s">
        <v>1</v>
      </c>
      <c r="D15" s="27" t="s">
        <v>2</v>
      </c>
      <c r="E15" s="27" t="s">
        <v>3</v>
      </c>
      <c r="F15" s="27" t="s">
        <v>4</v>
      </c>
      <c r="G15" s="28"/>
      <c r="H15" s="27" t="s">
        <v>0</v>
      </c>
      <c r="I15" s="27" t="s">
        <v>1</v>
      </c>
      <c r="J15" s="27" t="s">
        <v>2</v>
      </c>
      <c r="K15" s="27" t="s">
        <v>3</v>
      </c>
      <c r="L15" s="27" t="s">
        <v>4</v>
      </c>
      <c r="M15" s="1"/>
      <c r="O15" s="1"/>
    </row>
    <row r="16" spans="1:15" ht="28.5" customHeight="1">
      <c r="A16" s="1"/>
      <c r="B16" s="29">
        <v>1</v>
      </c>
      <c r="C16" s="29">
        <v>16</v>
      </c>
      <c r="D16" s="29">
        <v>32</v>
      </c>
      <c r="E16" s="29">
        <v>52</v>
      </c>
      <c r="F16" s="29">
        <v>75</v>
      </c>
      <c r="G16" s="29"/>
      <c r="H16" s="29">
        <v>1</v>
      </c>
      <c r="I16" s="29">
        <v>16</v>
      </c>
      <c r="J16" s="29">
        <v>32</v>
      </c>
      <c r="K16" s="29">
        <v>52</v>
      </c>
      <c r="L16" s="29">
        <v>75</v>
      </c>
      <c r="M16" s="1"/>
      <c r="O16" s="1"/>
    </row>
    <row r="17" spans="1:15" ht="28.5" customHeight="1">
      <c r="A17" s="1"/>
      <c r="B17" s="29">
        <v>8</v>
      </c>
      <c r="C17" s="29">
        <v>25</v>
      </c>
      <c r="D17" s="29">
        <v>38</v>
      </c>
      <c r="E17" s="29">
        <v>50</v>
      </c>
      <c r="F17" s="29">
        <v>65</v>
      </c>
      <c r="G17" s="29"/>
      <c r="H17" s="29">
        <v>8</v>
      </c>
      <c r="I17" s="29">
        <v>25</v>
      </c>
      <c r="J17" s="29">
        <v>38</v>
      </c>
      <c r="K17" s="29">
        <v>50</v>
      </c>
      <c r="L17" s="29">
        <v>65</v>
      </c>
      <c r="M17" s="1"/>
      <c r="O17" s="1"/>
    </row>
    <row r="18" spans="1:15" ht="28.5" customHeight="1">
      <c r="A18" s="1"/>
      <c r="B18" s="29">
        <v>3</v>
      </c>
      <c r="C18" s="29">
        <v>27</v>
      </c>
      <c r="D18" s="29" t="s">
        <v>44</v>
      </c>
      <c r="E18" s="29">
        <v>60</v>
      </c>
      <c r="F18" s="29">
        <v>69</v>
      </c>
      <c r="G18" s="29"/>
      <c r="H18" s="29">
        <v>3</v>
      </c>
      <c r="I18" s="29">
        <v>27</v>
      </c>
      <c r="J18" s="29" t="s">
        <v>44</v>
      </c>
      <c r="K18" s="29">
        <v>60</v>
      </c>
      <c r="L18" s="29">
        <v>69</v>
      </c>
      <c r="M18" s="1"/>
      <c r="O18" s="1"/>
    </row>
    <row r="19" spans="1:15" ht="28.5" customHeight="1">
      <c r="A19" s="1"/>
      <c r="B19" s="29">
        <v>15</v>
      </c>
      <c r="C19" s="29">
        <v>26</v>
      </c>
      <c r="D19" s="29">
        <v>43</v>
      </c>
      <c r="E19" s="29">
        <v>51</v>
      </c>
      <c r="F19" s="29">
        <v>70</v>
      </c>
      <c r="G19" s="29"/>
      <c r="H19" s="29">
        <v>15</v>
      </c>
      <c r="I19" s="29">
        <v>26</v>
      </c>
      <c r="J19" s="29">
        <v>43</v>
      </c>
      <c r="K19" s="29">
        <v>51</v>
      </c>
      <c r="L19" s="29">
        <v>70</v>
      </c>
      <c r="M19" s="1"/>
      <c r="O19" s="1"/>
    </row>
    <row r="20" spans="1:15" ht="28.5" customHeight="1">
      <c r="A20" s="1"/>
      <c r="B20" s="29">
        <v>9</v>
      </c>
      <c r="C20" s="29">
        <v>29</v>
      </c>
      <c r="D20" s="29">
        <v>40</v>
      </c>
      <c r="E20" s="29">
        <v>55</v>
      </c>
      <c r="F20" s="29">
        <v>72</v>
      </c>
      <c r="G20" s="29"/>
      <c r="H20" s="29">
        <v>9</v>
      </c>
      <c r="I20" s="29">
        <v>29</v>
      </c>
      <c r="J20" s="29">
        <v>40</v>
      </c>
      <c r="K20" s="29">
        <v>55</v>
      </c>
      <c r="L20" s="29">
        <v>72</v>
      </c>
      <c r="M20" s="1"/>
      <c r="O20" s="1"/>
    </row>
    <row r="21" spans="1:15" ht="28.5" customHeight="1"/>
  </sheetData>
  <phoneticPr fontId="20" type="noConversion"/>
  <pageMargins left="0.7" right="0.7" top="0.75" bottom="0.75" header="0.3" footer="0.3"/>
  <pageSetup paperSize="9" scale="90" orientation="portrait" r:id="rId1"/>
  <rowBreaks count="1" manualBreakCount="1">
    <brk id="21" max="13" man="1"/>
  </row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F148B9D5-C4D1-4BBE-9F53-80AEA3730F60}">
            <xm:f>HLOOKUP(B2,Cards!$O$2:$DQ$2,1,FALSE)</xm:f>
            <x14:dxf>
              <font>
                <b val="0"/>
                <i/>
                <strike val="0"/>
                <color theme="5"/>
              </font>
            </x14:dxf>
          </x14:cfRule>
          <xm:sqref>B2:L20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O21"/>
  <sheetViews>
    <sheetView zoomScaleNormal="100" zoomScaleSheetLayoutView="70" workbookViewId="0">
      <selection sqref="A1:M1048576"/>
    </sheetView>
  </sheetViews>
  <sheetFormatPr defaultRowHeight="33.75"/>
  <cols>
    <col min="1" max="1" width="4.140625" customWidth="1"/>
    <col min="2" max="6" width="8.7109375" style="5" customWidth="1"/>
    <col min="7" max="7" width="3.140625" customWidth="1"/>
    <col min="8" max="12" width="8.7109375" style="5" customWidth="1"/>
    <col min="13" max="13" width="4.140625" customWidth="1"/>
  </cols>
  <sheetData>
    <row r="1" spans="1:15" ht="28.5" customHeight="1">
      <c r="A1" s="3"/>
      <c r="B1" s="27" t="s">
        <v>0</v>
      </c>
      <c r="C1" s="27" t="s">
        <v>1</v>
      </c>
      <c r="D1" s="27" t="s">
        <v>2</v>
      </c>
      <c r="E1" s="27" t="s">
        <v>3</v>
      </c>
      <c r="F1" s="27" t="s">
        <v>4</v>
      </c>
      <c r="G1" s="28"/>
      <c r="H1" s="27" t="s">
        <v>0</v>
      </c>
      <c r="I1" s="27" t="s">
        <v>1</v>
      </c>
      <c r="J1" s="27" t="s">
        <v>2</v>
      </c>
      <c r="K1" s="27" t="s">
        <v>3</v>
      </c>
      <c r="L1" s="27" t="s">
        <v>4</v>
      </c>
      <c r="M1" s="3"/>
      <c r="N1" s="5" t="str">
        <f ca="1">MID(CELL("filename",A1),FIND("]",CELL("filename",A1))+1,255)</f>
        <v>4</v>
      </c>
      <c r="O1" s="3"/>
    </row>
    <row r="2" spans="1:15" ht="28.5" customHeight="1">
      <c r="A2" s="4"/>
      <c r="B2" s="29">
        <v>7</v>
      </c>
      <c r="C2" s="29">
        <v>23</v>
      </c>
      <c r="D2" s="29">
        <v>42</v>
      </c>
      <c r="E2" s="29">
        <v>58</v>
      </c>
      <c r="F2" s="29">
        <v>71</v>
      </c>
      <c r="G2" s="29"/>
      <c r="H2" s="29">
        <v>7</v>
      </c>
      <c r="I2" s="29">
        <v>23</v>
      </c>
      <c r="J2" s="29">
        <v>42</v>
      </c>
      <c r="K2" s="29">
        <v>58</v>
      </c>
      <c r="L2" s="29">
        <v>71</v>
      </c>
      <c r="M2" s="4"/>
      <c r="O2" s="4"/>
    </row>
    <row r="3" spans="1:15" ht="28.5" customHeight="1">
      <c r="A3" s="4"/>
      <c r="B3" s="29">
        <v>1</v>
      </c>
      <c r="C3" s="29">
        <v>21</v>
      </c>
      <c r="D3" s="29">
        <v>35</v>
      </c>
      <c r="E3" s="29">
        <v>51</v>
      </c>
      <c r="F3" s="29">
        <v>64</v>
      </c>
      <c r="G3" s="29"/>
      <c r="H3" s="29">
        <v>1</v>
      </c>
      <c r="I3" s="29">
        <v>21</v>
      </c>
      <c r="J3" s="29">
        <v>35</v>
      </c>
      <c r="K3" s="29">
        <v>51</v>
      </c>
      <c r="L3" s="29">
        <v>64</v>
      </c>
      <c r="M3" s="4"/>
      <c r="O3" s="4"/>
    </row>
    <row r="4" spans="1:15" ht="28.5" customHeight="1">
      <c r="A4" s="4"/>
      <c r="B4" s="29">
        <v>15</v>
      </c>
      <c r="C4" s="29">
        <v>27</v>
      </c>
      <c r="D4" s="29" t="s">
        <v>44</v>
      </c>
      <c r="E4" s="29">
        <v>47</v>
      </c>
      <c r="F4" s="29">
        <v>75</v>
      </c>
      <c r="G4" s="29"/>
      <c r="H4" s="29">
        <v>15</v>
      </c>
      <c r="I4" s="29">
        <v>27</v>
      </c>
      <c r="J4" s="29" t="s">
        <v>44</v>
      </c>
      <c r="K4" s="29">
        <v>47</v>
      </c>
      <c r="L4" s="29">
        <v>75</v>
      </c>
      <c r="M4" s="4"/>
      <c r="O4" s="4"/>
    </row>
    <row r="5" spans="1:15" ht="28.5" customHeight="1">
      <c r="A5" s="4"/>
      <c r="B5" s="29">
        <v>11</v>
      </c>
      <c r="C5" s="29">
        <v>30</v>
      </c>
      <c r="D5" s="29">
        <v>41</v>
      </c>
      <c r="E5" s="29">
        <v>59</v>
      </c>
      <c r="F5" s="29">
        <v>66</v>
      </c>
      <c r="G5" s="29"/>
      <c r="H5" s="29">
        <v>11</v>
      </c>
      <c r="I5" s="29">
        <v>30</v>
      </c>
      <c r="J5" s="29">
        <v>41</v>
      </c>
      <c r="K5" s="29">
        <v>59</v>
      </c>
      <c r="L5" s="29">
        <v>66</v>
      </c>
      <c r="M5" s="4"/>
      <c r="O5" s="4"/>
    </row>
    <row r="6" spans="1:15" ht="28.5" customHeight="1">
      <c r="A6" s="4"/>
      <c r="B6" s="29">
        <v>14</v>
      </c>
      <c r="C6" s="29">
        <v>20</v>
      </c>
      <c r="D6" s="29">
        <v>36</v>
      </c>
      <c r="E6" s="29">
        <v>50</v>
      </c>
      <c r="F6" s="29">
        <v>72</v>
      </c>
      <c r="G6" s="29"/>
      <c r="H6" s="29">
        <v>14</v>
      </c>
      <c r="I6" s="29">
        <v>20</v>
      </c>
      <c r="J6" s="29">
        <v>36</v>
      </c>
      <c r="K6" s="29">
        <v>50</v>
      </c>
      <c r="L6" s="29">
        <v>72</v>
      </c>
      <c r="M6" s="4"/>
      <c r="O6" s="4"/>
    </row>
    <row r="7" spans="1:15" ht="28.5" customHeight="1"/>
    <row r="8" spans="1:15" ht="28.5" customHeight="1">
      <c r="A8" s="1"/>
      <c r="B8" s="27" t="s">
        <v>0</v>
      </c>
      <c r="C8" s="27" t="s">
        <v>1</v>
      </c>
      <c r="D8" s="27" t="s">
        <v>2</v>
      </c>
      <c r="E8" s="27" t="s">
        <v>3</v>
      </c>
      <c r="F8" s="27" t="s">
        <v>4</v>
      </c>
      <c r="G8" s="28"/>
      <c r="H8" s="27" t="s">
        <v>0</v>
      </c>
      <c r="I8" s="27" t="s">
        <v>1</v>
      </c>
      <c r="J8" s="27" t="s">
        <v>2</v>
      </c>
      <c r="K8" s="27" t="s">
        <v>3</v>
      </c>
      <c r="L8" s="27" t="s">
        <v>4</v>
      </c>
      <c r="M8" s="1"/>
      <c r="O8" s="1"/>
    </row>
    <row r="9" spans="1:15" ht="28.5" customHeight="1">
      <c r="A9" s="1"/>
      <c r="B9" s="29">
        <v>11</v>
      </c>
      <c r="C9" s="29">
        <v>29</v>
      </c>
      <c r="D9" s="29">
        <v>36</v>
      </c>
      <c r="E9" s="29">
        <v>59</v>
      </c>
      <c r="F9" s="29">
        <v>74</v>
      </c>
      <c r="G9" s="29"/>
      <c r="H9" s="29">
        <v>11</v>
      </c>
      <c r="I9" s="29">
        <v>29</v>
      </c>
      <c r="J9" s="29">
        <v>36</v>
      </c>
      <c r="K9" s="29">
        <v>59</v>
      </c>
      <c r="L9" s="29">
        <v>74</v>
      </c>
      <c r="M9" s="1"/>
      <c r="O9" s="1"/>
    </row>
    <row r="10" spans="1:15" ht="28.5" customHeight="1">
      <c r="A10" s="1"/>
      <c r="B10" s="29">
        <v>4</v>
      </c>
      <c r="C10" s="29">
        <v>18</v>
      </c>
      <c r="D10" s="29">
        <v>33</v>
      </c>
      <c r="E10" s="29">
        <v>49</v>
      </c>
      <c r="F10" s="29">
        <v>63</v>
      </c>
      <c r="G10" s="29"/>
      <c r="H10" s="29">
        <v>4</v>
      </c>
      <c r="I10" s="29">
        <v>18</v>
      </c>
      <c r="J10" s="29">
        <v>33</v>
      </c>
      <c r="K10" s="29">
        <v>49</v>
      </c>
      <c r="L10" s="29">
        <v>63</v>
      </c>
      <c r="M10" s="1"/>
      <c r="O10" s="1"/>
    </row>
    <row r="11" spans="1:15" ht="28.5" customHeight="1">
      <c r="A11" s="1"/>
      <c r="B11" s="29">
        <v>8</v>
      </c>
      <c r="C11" s="29">
        <v>23</v>
      </c>
      <c r="D11" s="29" t="s">
        <v>44</v>
      </c>
      <c r="E11" s="29">
        <v>53</v>
      </c>
      <c r="F11" s="29">
        <v>69</v>
      </c>
      <c r="G11" s="29"/>
      <c r="H11" s="29">
        <v>8</v>
      </c>
      <c r="I11" s="29">
        <v>23</v>
      </c>
      <c r="J11" s="29" t="s">
        <v>44</v>
      </c>
      <c r="K11" s="29">
        <v>53</v>
      </c>
      <c r="L11" s="29">
        <v>69</v>
      </c>
      <c r="M11" s="1"/>
      <c r="O11" s="1"/>
    </row>
    <row r="12" spans="1:15" ht="28.5" customHeight="1">
      <c r="A12" s="1"/>
      <c r="B12" s="29">
        <v>6</v>
      </c>
      <c r="C12" s="29">
        <v>21</v>
      </c>
      <c r="D12" s="29">
        <v>41</v>
      </c>
      <c r="E12" s="29">
        <v>47</v>
      </c>
      <c r="F12" s="29">
        <v>68</v>
      </c>
      <c r="G12" s="29"/>
      <c r="H12" s="29">
        <v>6</v>
      </c>
      <c r="I12" s="29">
        <v>21</v>
      </c>
      <c r="J12" s="29">
        <v>41</v>
      </c>
      <c r="K12" s="29">
        <v>47</v>
      </c>
      <c r="L12" s="29">
        <v>68</v>
      </c>
      <c r="M12" s="1"/>
      <c r="O12" s="1"/>
    </row>
    <row r="13" spans="1:15" ht="28.5" customHeight="1">
      <c r="A13" s="1"/>
      <c r="B13" s="29">
        <v>9</v>
      </c>
      <c r="C13" s="29">
        <v>26</v>
      </c>
      <c r="D13" s="29">
        <v>34</v>
      </c>
      <c r="E13" s="29">
        <v>46</v>
      </c>
      <c r="F13" s="29">
        <v>62</v>
      </c>
      <c r="G13" s="29"/>
      <c r="H13" s="29">
        <v>9</v>
      </c>
      <c r="I13" s="29">
        <v>26</v>
      </c>
      <c r="J13" s="29">
        <v>34</v>
      </c>
      <c r="K13" s="29">
        <v>46</v>
      </c>
      <c r="L13" s="29">
        <v>62</v>
      </c>
      <c r="M13" s="1"/>
      <c r="O13" s="1"/>
    </row>
    <row r="14" spans="1:15" ht="28.5" customHeight="1"/>
    <row r="15" spans="1:15" ht="28.5" customHeight="1">
      <c r="A15" s="1"/>
      <c r="B15" s="27" t="s">
        <v>0</v>
      </c>
      <c r="C15" s="27" t="s">
        <v>1</v>
      </c>
      <c r="D15" s="27" t="s">
        <v>2</v>
      </c>
      <c r="E15" s="27" t="s">
        <v>3</v>
      </c>
      <c r="F15" s="27" t="s">
        <v>4</v>
      </c>
      <c r="G15" s="28"/>
      <c r="H15" s="27" t="s">
        <v>0</v>
      </c>
      <c r="I15" s="27" t="s">
        <v>1</v>
      </c>
      <c r="J15" s="27" t="s">
        <v>2</v>
      </c>
      <c r="K15" s="27" t="s">
        <v>3</v>
      </c>
      <c r="L15" s="27" t="s">
        <v>4</v>
      </c>
      <c r="M15" s="1"/>
      <c r="O15" s="1"/>
    </row>
    <row r="16" spans="1:15" ht="28.5" customHeight="1">
      <c r="A16" s="1"/>
      <c r="B16" s="29">
        <v>4</v>
      </c>
      <c r="C16" s="29">
        <v>18</v>
      </c>
      <c r="D16" s="29">
        <v>39</v>
      </c>
      <c r="E16" s="29">
        <v>52</v>
      </c>
      <c r="F16" s="29">
        <v>66</v>
      </c>
      <c r="G16" s="29"/>
      <c r="H16" s="29">
        <v>4</v>
      </c>
      <c r="I16" s="29">
        <v>18</v>
      </c>
      <c r="J16" s="29">
        <v>39</v>
      </c>
      <c r="K16" s="29">
        <v>52</v>
      </c>
      <c r="L16" s="29">
        <v>66</v>
      </c>
      <c r="M16" s="1"/>
      <c r="O16" s="1"/>
    </row>
    <row r="17" spans="1:15" ht="28.5" customHeight="1">
      <c r="A17" s="1"/>
      <c r="B17" s="29">
        <v>3</v>
      </c>
      <c r="C17" s="29">
        <v>24</v>
      </c>
      <c r="D17" s="29">
        <v>37</v>
      </c>
      <c r="E17" s="29">
        <v>51</v>
      </c>
      <c r="F17" s="29">
        <v>74</v>
      </c>
      <c r="G17" s="29"/>
      <c r="H17" s="29">
        <v>3</v>
      </c>
      <c r="I17" s="29">
        <v>24</v>
      </c>
      <c r="J17" s="29">
        <v>37</v>
      </c>
      <c r="K17" s="29">
        <v>51</v>
      </c>
      <c r="L17" s="29">
        <v>74</v>
      </c>
      <c r="M17" s="1"/>
      <c r="O17" s="1"/>
    </row>
    <row r="18" spans="1:15" ht="28.5" customHeight="1">
      <c r="A18" s="1"/>
      <c r="B18" s="29">
        <v>2</v>
      </c>
      <c r="C18" s="29">
        <v>20</v>
      </c>
      <c r="D18" s="29" t="s">
        <v>44</v>
      </c>
      <c r="E18" s="29">
        <v>59</v>
      </c>
      <c r="F18" s="29">
        <v>70</v>
      </c>
      <c r="G18" s="29"/>
      <c r="H18" s="29">
        <v>2</v>
      </c>
      <c r="I18" s="29">
        <v>20</v>
      </c>
      <c r="J18" s="29" t="s">
        <v>44</v>
      </c>
      <c r="K18" s="29">
        <v>59</v>
      </c>
      <c r="L18" s="29">
        <v>70</v>
      </c>
      <c r="M18" s="1"/>
      <c r="O18" s="1"/>
    </row>
    <row r="19" spans="1:15" ht="28.5" customHeight="1">
      <c r="A19" s="1"/>
      <c r="B19" s="29">
        <v>5</v>
      </c>
      <c r="C19" s="29">
        <v>27</v>
      </c>
      <c r="D19" s="29">
        <v>38</v>
      </c>
      <c r="E19" s="29">
        <v>50</v>
      </c>
      <c r="F19" s="29">
        <v>65</v>
      </c>
      <c r="G19" s="29"/>
      <c r="H19" s="29">
        <v>5</v>
      </c>
      <c r="I19" s="29">
        <v>27</v>
      </c>
      <c r="J19" s="29">
        <v>38</v>
      </c>
      <c r="K19" s="29">
        <v>50</v>
      </c>
      <c r="L19" s="29">
        <v>65</v>
      </c>
      <c r="M19" s="1"/>
      <c r="O19" s="1"/>
    </row>
    <row r="20" spans="1:15" ht="28.5" customHeight="1">
      <c r="A20" s="1"/>
      <c r="B20" s="29">
        <v>10</v>
      </c>
      <c r="C20" s="29">
        <v>23</v>
      </c>
      <c r="D20" s="29">
        <v>36</v>
      </c>
      <c r="E20" s="29">
        <v>54</v>
      </c>
      <c r="F20" s="29">
        <v>68</v>
      </c>
      <c r="G20" s="29"/>
      <c r="H20" s="29">
        <v>10</v>
      </c>
      <c r="I20" s="29">
        <v>23</v>
      </c>
      <c r="J20" s="29">
        <v>36</v>
      </c>
      <c r="K20" s="29">
        <v>54</v>
      </c>
      <c r="L20" s="29">
        <v>68</v>
      </c>
      <c r="M20" s="1"/>
      <c r="O20" s="1"/>
    </row>
    <row r="21" spans="1:15" ht="28.5" customHeight="1"/>
  </sheetData>
  <phoneticPr fontId="20" type="noConversion"/>
  <pageMargins left="0.7" right="0.7" top="0.75" bottom="0.75" header="0.3" footer="0.3"/>
  <pageSetup paperSize="9" scale="90" orientation="portrait" r:id="rId1"/>
  <rowBreaks count="1" manualBreakCount="1">
    <brk id="21" max="13" man="1"/>
  </row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560DEA9C-6E99-4A5E-AA23-089B8E4A4935}">
            <xm:f>HLOOKUP(B2,Cards!$O$2:$DQ$2,1,FALSE)</xm:f>
            <x14:dxf>
              <font>
                <b val="0"/>
                <i/>
                <strike val="0"/>
                <color theme="5"/>
              </font>
            </x14:dxf>
          </x14:cfRule>
          <xm:sqref>B2:L20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O21"/>
  <sheetViews>
    <sheetView zoomScaleNormal="100" zoomScaleSheetLayoutView="70" workbookViewId="0">
      <selection sqref="A1:M1048576"/>
    </sheetView>
  </sheetViews>
  <sheetFormatPr defaultRowHeight="33.75"/>
  <cols>
    <col min="1" max="1" width="4.140625" customWidth="1"/>
    <col min="2" max="6" width="8.7109375" style="5" customWidth="1"/>
    <col min="7" max="7" width="3.140625" customWidth="1"/>
    <col min="8" max="12" width="8.7109375" style="5" customWidth="1"/>
    <col min="13" max="13" width="4.140625" customWidth="1"/>
  </cols>
  <sheetData>
    <row r="1" spans="1:15" ht="28.5" customHeight="1">
      <c r="A1" s="3"/>
      <c r="B1" s="27" t="s">
        <v>0</v>
      </c>
      <c r="C1" s="27" t="s">
        <v>1</v>
      </c>
      <c r="D1" s="27" t="s">
        <v>2</v>
      </c>
      <c r="E1" s="27" t="s">
        <v>3</v>
      </c>
      <c r="F1" s="27" t="s">
        <v>4</v>
      </c>
      <c r="G1" s="28"/>
      <c r="H1" s="27" t="s">
        <v>0</v>
      </c>
      <c r="I1" s="27" t="s">
        <v>1</v>
      </c>
      <c r="J1" s="27" t="s">
        <v>2</v>
      </c>
      <c r="K1" s="27" t="s">
        <v>3</v>
      </c>
      <c r="L1" s="27" t="s">
        <v>4</v>
      </c>
      <c r="M1" s="3"/>
      <c r="N1" s="5" t="str">
        <f ca="1">MID(CELL("filename",A1),FIND("]",CELL("filename",A1))+1,255)</f>
        <v>5</v>
      </c>
      <c r="O1" s="3"/>
    </row>
    <row r="2" spans="1:15" ht="28.5" customHeight="1">
      <c r="A2" s="4"/>
      <c r="B2" s="29">
        <v>4</v>
      </c>
      <c r="C2" s="29">
        <v>29</v>
      </c>
      <c r="D2" s="29">
        <v>37</v>
      </c>
      <c r="E2" s="29">
        <v>52</v>
      </c>
      <c r="F2" s="29">
        <v>70</v>
      </c>
      <c r="G2" s="29"/>
      <c r="H2" s="29">
        <v>4</v>
      </c>
      <c r="I2" s="29">
        <v>29</v>
      </c>
      <c r="J2" s="29">
        <v>37</v>
      </c>
      <c r="K2" s="29">
        <v>52</v>
      </c>
      <c r="L2" s="29">
        <v>70</v>
      </c>
      <c r="M2" s="4"/>
      <c r="O2" s="4"/>
    </row>
    <row r="3" spans="1:15" ht="28.5" customHeight="1">
      <c r="A3" s="4"/>
      <c r="B3" s="29">
        <v>15</v>
      </c>
      <c r="C3" s="29">
        <v>21</v>
      </c>
      <c r="D3" s="29">
        <v>42</v>
      </c>
      <c r="E3" s="29">
        <v>49</v>
      </c>
      <c r="F3" s="29">
        <v>64</v>
      </c>
      <c r="G3" s="29"/>
      <c r="H3" s="29">
        <v>15</v>
      </c>
      <c r="I3" s="29">
        <v>21</v>
      </c>
      <c r="J3" s="29">
        <v>42</v>
      </c>
      <c r="K3" s="29">
        <v>49</v>
      </c>
      <c r="L3" s="29">
        <v>64</v>
      </c>
      <c r="M3" s="4"/>
      <c r="O3" s="4"/>
    </row>
    <row r="4" spans="1:15" ht="28.5" customHeight="1">
      <c r="A4" s="4"/>
      <c r="B4" s="29">
        <v>1</v>
      </c>
      <c r="C4" s="29">
        <v>28</v>
      </c>
      <c r="D4" s="29" t="s">
        <v>44</v>
      </c>
      <c r="E4" s="29">
        <v>47</v>
      </c>
      <c r="F4" s="29">
        <v>69</v>
      </c>
      <c r="G4" s="29"/>
      <c r="H4" s="29">
        <v>1</v>
      </c>
      <c r="I4" s="29">
        <v>28</v>
      </c>
      <c r="J4" s="29" t="s">
        <v>44</v>
      </c>
      <c r="K4" s="29">
        <v>47</v>
      </c>
      <c r="L4" s="29">
        <v>69</v>
      </c>
      <c r="M4" s="4"/>
      <c r="O4" s="4"/>
    </row>
    <row r="5" spans="1:15" ht="28.5" customHeight="1">
      <c r="A5" s="4"/>
      <c r="B5" s="29">
        <v>12</v>
      </c>
      <c r="C5" s="29">
        <v>25</v>
      </c>
      <c r="D5" s="29">
        <v>36</v>
      </c>
      <c r="E5" s="29">
        <v>57</v>
      </c>
      <c r="F5" s="29">
        <v>65</v>
      </c>
      <c r="G5" s="29"/>
      <c r="H5" s="29">
        <v>12</v>
      </c>
      <c r="I5" s="29">
        <v>25</v>
      </c>
      <c r="J5" s="29">
        <v>36</v>
      </c>
      <c r="K5" s="29">
        <v>57</v>
      </c>
      <c r="L5" s="29">
        <v>65</v>
      </c>
      <c r="M5" s="4"/>
      <c r="O5" s="4"/>
    </row>
    <row r="6" spans="1:15" ht="28.5" customHeight="1">
      <c r="A6" s="4"/>
      <c r="B6" s="29">
        <v>11</v>
      </c>
      <c r="C6" s="29">
        <v>22</v>
      </c>
      <c r="D6" s="29">
        <v>34</v>
      </c>
      <c r="E6" s="29">
        <v>55</v>
      </c>
      <c r="F6" s="29">
        <v>74</v>
      </c>
      <c r="G6" s="29"/>
      <c r="H6" s="29">
        <v>11</v>
      </c>
      <c r="I6" s="29">
        <v>22</v>
      </c>
      <c r="J6" s="29">
        <v>34</v>
      </c>
      <c r="K6" s="29">
        <v>55</v>
      </c>
      <c r="L6" s="29">
        <v>74</v>
      </c>
      <c r="M6" s="4"/>
      <c r="O6" s="4"/>
    </row>
    <row r="7" spans="1:15" ht="28.5" customHeight="1"/>
    <row r="8" spans="1:15" ht="28.5" customHeight="1">
      <c r="A8" s="1"/>
      <c r="B8" s="27" t="s">
        <v>0</v>
      </c>
      <c r="C8" s="27" t="s">
        <v>1</v>
      </c>
      <c r="D8" s="27" t="s">
        <v>2</v>
      </c>
      <c r="E8" s="27" t="s">
        <v>3</v>
      </c>
      <c r="F8" s="27" t="s">
        <v>4</v>
      </c>
      <c r="G8" s="28"/>
      <c r="H8" s="27" t="s">
        <v>0</v>
      </c>
      <c r="I8" s="27" t="s">
        <v>1</v>
      </c>
      <c r="J8" s="27" t="s">
        <v>2</v>
      </c>
      <c r="K8" s="27" t="s">
        <v>3</v>
      </c>
      <c r="L8" s="27" t="s">
        <v>4</v>
      </c>
      <c r="M8" s="1"/>
      <c r="O8" s="1"/>
    </row>
    <row r="9" spans="1:15" ht="28.5" customHeight="1">
      <c r="A9" s="1"/>
      <c r="B9" s="29">
        <v>6</v>
      </c>
      <c r="C9" s="29">
        <v>23</v>
      </c>
      <c r="D9" s="29">
        <v>39</v>
      </c>
      <c r="E9" s="29">
        <v>52</v>
      </c>
      <c r="F9" s="29">
        <v>67</v>
      </c>
      <c r="G9" s="29"/>
      <c r="H9" s="29">
        <v>6</v>
      </c>
      <c r="I9" s="29">
        <v>23</v>
      </c>
      <c r="J9" s="29">
        <v>39</v>
      </c>
      <c r="K9" s="29">
        <v>52</v>
      </c>
      <c r="L9" s="29">
        <v>67</v>
      </c>
      <c r="M9" s="1"/>
      <c r="O9" s="1"/>
    </row>
    <row r="10" spans="1:15" ht="28.5" customHeight="1">
      <c r="A10" s="1"/>
      <c r="B10" s="29">
        <v>9</v>
      </c>
      <c r="C10" s="29">
        <v>17</v>
      </c>
      <c r="D10" s="29">
        <v>32</v>
      </c>
      <c r="E10" s="29">
        <v>56</v>
      </c>
      <c r="F10" s="29">
        <v>66</v>
      </c>
      <c r="G10" s="29"/>
      <c r="H10" s="29">
        <v>9</v>
      </c>
      <c r="I10" s="29">
        <v>17</v>
      </c>
      <c r="J10" s="29">
        <v>32</v>
      </c>
      <c r="K10" s="29">
        <v>56</v>
      </c>
      <c r="L10" s="29">
        <v>66</v>
      </c>
      <c r="M10" s="1"/>
      <c r="O10" s="1"/>
    </row>
    <row r="11" spans="1:15" ht="28.5" customHeight="1">
      <c r="A11" s="1"/>
      <c r="B11" s="29">
        <v>5</v>
      </c>
      <c r="C11" s="29">
        <v>16</v>
      </c>
      <c r="D11" s="29" t="s">
        <v>44</v>
      </c>
      <c r="E11" s="29">
        <v>49</v>
      </c>
      <c r="F11" s="29">
        <v>73</v>
      </c>
      <c r="G11" s="29"/>
      <c r="H11" s="29">
        <v>5</v>
      </c>
      <c r="I11" s="29">
        <v>16</v>
      </c>
      <c r="J11" s="29" t="s">
        <v>44</v>
      </c>
      <c r="K11" s="29">
        <v>49</v>
      </c>
      <c r="L11" s="29">
        <v>73</v>
      </c>
      <c r="M11" s="1"/>
      <c r="O11" s="1"/>
    </row>
    <row r="12" spans="1:15" ht="28.5" customHeight="1">
      <c r="A12" s="1"/>
      <c r="B12" s="29">
        <v>2</v>
      </c>
      <c r="C12" s="29">
        <v>28</v>
      </c>
      <c r="D12" s="29">
        <v>44</v>
      </c>
      <c r="E12" s="29">
        <v>51</v>
      </c>
      <c r="F12" s="29">
        <v>70</v>
      </c>
      <c r="G12" s="29"/>
      <c r="H12" s="29">
        <v>2</v>
      </c>
      <c r="I12" s="29">
        <v>28</v>
      </c>
      <c r="J12" s="29">
        <v>44</v>
      </c>
      <c r="K12" s="29">
        <v>51</v>
      </c>
      <c r="L12" s="29">
        <v>70</v>
      </c>
      <c r="M12" s="1"/>
      <c r="O12" s="1"/>
    </row>
    <row r="13" spans="1:15" ht="28.5" customHeight="1">
      <c r="A13" s="1"/>
      <c r="B13" s="29">
        <v>1</v>
      </c>
      <c r="C13" s="29">
        <v>25</v>
      </c>
      <c r="D13" s="29">
        <v>31</v>
      </c>
      <c r="E13" s="29">
        <v>47</v>
      </c>
      <c r="F13" s="29">
        <v>64</v>
      </c>
      <c r="G13" s="29"/>
      <c r="H13" s="29">
        <v>1</v>
      </c>
      <c r="I13" s="29">
        <v>25</v>
      </c>
      <c r="J13" s="29">
        <v>31</v>
      </c>
      <c r="K13" s="29">
        <v>47</v>
      </c>
      <c r="L13" s="29">
        <v>64</v>
      </c>
      <c r="M13" s="1"/>
      <c r="O13" s="1"/>
    </row>
    <row r="14" spans="1:15" ht="28.5" customHeight="1"/>
    <row r="15" spans="1:15" ht="28.5" customHeight="1">
      <c r="A15" s="1"/>
      <c r="B15" s="27" t="s">
        <v>0</v>
      </c>
      <c r="C15" s="27" t="s">
        <v>1</v>
      </c>
      <c r="D15" s="27" t="s">
        <v>2</v>
      </c>
      <c r="E15" s="27" t="s">
        <v>3</v>
      </c>
      <c r="F15" s="27" t="s">
        <v>4</v>
      </c>
      <c r="G15" s="28"/>
      <c r="H15" s="27" t="s">
        <v>0</v>
      </c>
      <c r="I15" s="27" t="s">
        <v>1</v>
      </c>
      <c r="J15" s="27" t="s">
        <v>2</v>
      </c>
      <c r="K15" s="27" t="s">
        <v>3</v>
      </c>
      <c r="L15" s="27" t="s">
        <v>4</v>
      </c>
      <c r="M15" s="1"/>
      <c r="O15" s="1"/>
    </row>
    <row r="16" spans="1:15" ht="28.5" customHeight="1">
      <c r="A16" s="1"/>
      <c r="B16" s="29">
        <v>14</v>
      </c>
      <c r="C16" s="29">
        <v>27</v>
      </c>
      <c r="D16" s="29">
        <v>41</v>
      </c>
      <c r="E16" s="29">
        <v>47</v>
      </c>
      <c r="F16" s="29">
        <v>68</v>
      </c>
      <c r="G16" s="29"/>
      <c r="H16" s="29">
        <v>14</v>
      </c>
      <c r="I16" s="29">
        <v>27</v>
      </c>
      <c r="J16" s="29">
        <v>41</v>
      </c>
      <c r="K16" s="29">
        <v>47</v>
      </c>
      <c r="L16" s="29">
        <v>68</v>
      </c>
      <c r="M16" s="1"/>
      <c r="O16" s="1"/>
    </row>
    <row r="17" spans="1:15" ht="28.5" customHeight="1">
      <c r="A17" s="1"/>
      <c r="B17" s="29">
        <v>7</v>
      </c>
      <c r="C17" s="29">
        <v>25</v>
      </c>
      <c r="D17" s="29">
        <v>38</v>
      </c>
      <c r="E17" s="29">
        <v>52</v>
      </c>
      <c r="F17" s="29">
        <v>70</v>
      </c>
      <c r="G17" s="29"/>
      <c r="H17" s="29">
        <v>7</v>
      </c>
      <c r="I17" s="29">
        <v>25</v>
      </c>
      <c r="J17" s="29">
        <v>38</v>
      </c>
      <c r="K17" s="29">
        <v>52</v>
      </c>
      <c r="L17" s="29">
        <v>70</v>
      </c>
      <c r="M17" s="1"/>
      <c r="O17" s="1"/>
    </row>
    <row r="18" spans="1:15" ht="28.5" customHeight="1">
      <c r="A18" s="1"/>
      <c r="B18" s="29">
        <v>3</v>
      </c>
      <c r="C18" s="29">
        <v>18</v>
      </c>
      <c r="D18" s="29" t="s">
        <v>44</v>
      </c>
      <c r="E18" s="29">
        <v>49</v>
      </c>
      <c r="F18" s="29">
        <v>62</v>
      </c>
      <c r="G18" s="29"/>
      <c r="H18" s="29">
        <v>3</v>
      </c>
      <c r="I18" s="29">
        <v>18</v>
      </c>
      <c r="J18" s="29" t="s">
        <v>44</v>
      </c>
      <c r="K18" s="29">
        <v>49</v>
      </c>
      <c r="L18" s="29">
        <v>62</v>
      </c>
      <c r="M18" s="1"/>
      <c r="O18" s="1"/>
    </row>
    <row r="19" spans="1:15" ht="28.5" customHeight="1">
      <c r="A19" s="1"/>
      <c r="B19" s="29">
        <v>15</v>
      </c>
      <c r="C19" s="29">
        <v>17</v>
      </c>
      <c r="D19" s="29">
        <v>40</v>
      </c>
      <c r="E19" s="29">
        <v>54</v>
      </c>
      <c r="F19" s="29">
        <v>63</v>
      </c>
      <c r="G19" s="29"/>
      <c r="H19" s="29">
        <v>15</v>
      </c>
      <c r="I19" s="29">
        <v>17</v>
      </c>
      <c r="J19" s="29">
        <v>40</v>
      </c>
      <c r="K19" s="29">
        <v>54</v>
      </c>
      <c r="L19" s="29">
        <v>63</v>
      </c>
      <c r="M19" s="1"/>
      <c r="O19" s="1"/>
    </row>
    <row r="20" spans="1:15" ht="28.5" customHeight="1">
      <c r="A20" s="1"/>
      <c r="B20" s="29">
        <v>12</v>
      </c>
      <c r="C20" s="29">
        <v>26</v>
      </c>
      <c r="D20" s="29">
        <v>36</v>
      </c>
      <c r="E20" s="29">
        <v>58</v>
      </c>
      <c r="F20" s="29">
        <v>74</v>
      </c>
      <c r="G20" s="29"/>
      <c r="H20" s="29">
        <v>12</v>
      </c>
      <c r="I20" s="29">
        <v>26</v>
      </c>
      <c r="J20" s="29">
        <v>36</v>
      </c>
      <c r="K20" s="29">
        <v>58</v>
      </c>
      <c r="L20" s="29">
        <v>74</v>
      </c>
      <c r="M20" s="1"/>
      <c r="O20" s="1"/>
    </row>
    <row r="21" spans="1:15" ht="28.5" customHeight="1"/>
  </sheetData>
  <phoneticPr fontId="20" type="noConversion"/>
  <pageMargins left="0.7" right="0.7" top="0.75" bottom="0.75" header="0.3" footer="0.3"/>
  <pageSetup paperSize="9" scale="90" orientation="portrait" r:id="rId1"/>
  <rowBreaks count="1" manualBreakCount="1">
    <brk id="21" max="13" man="1"/>
  </row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B3CFBAA1-0FC5-4D30-837D-53B699EF3444}">
            <xm:f>HLOOKUP(B2,Cards!$O$2:$DQ$2,1,FALSE)</xm:f>
            <x14:dxf>
              <font>
                <b val="0"/>
                <i/>
                <strike val="0"/>
                <color theme="5"/>
              </font>
            </x14:dxf>
          </x14:cfRule>
          <xm:sqref>B2:L20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O21"/>
  <sheetViews>
    <sheetView zoomScaleNormal="100" zoomScaleSheetLayoutView="70" workbookViewId="0">
      <selection activeCell="P16" sqref="P16"/>
    </sheetView>
  </sheetViews>
  <sheetFormatPr defaultRowHeight="33.75"/>
  <cols>
    <col min="1" max="1" width="4.140625" customWidth="1"/>
    <col min="2" max="6" width="8.7109375" style="5" customWidth="1"/>
    <col min="7" max="7" width="3.140625" customWidth="1"/>
    <col min="8" max="12" width="8.7109375" style="5" customWidth="1"/>
    <col min="13" max="13" width="4.140625" customWidth="1"/>
  </cols>
  <sheetData>
    <row r="1" spans="1:15" ht="28.5" customHeight="1">
      <c r="A1" s="3"/>
      <c r="B1" s="27" t="s">
        <v>0</v>
      </c>
      <c r="C1" s="27" t="s">
        <v>1</v>
      </c>
      <c r="D1" s="27" t="s">
        <v>2</v>
      </c>
      <c r="E1" s="27" t="s">
        <v>3</v>
      </c>
      <c r="F1" s="27" t="s">
        <v>4</v>
      </c>
      <c r="G1" s="28"/>
      <c r="H1" s="27" t="s">
        <v>0</v>
      </c>
      <c r="I1" s="27" t="s">
        <v>1</v>
      </c>
      <c r="J1" s="27" t="s">
        <v>2</v>
      </c>
      <c r="K1" s="27" t="s">
        <v>3</v>
      </c>
      <c r="L1" s="27" t="s">
        <v>4</v>
      </c>
      <c r="M1" s="3"/>
      <c r="N1" s="5" t="str">
        <f ca="1">MID(CELL("filename",A1),FIND("]",CELL("filename",A1))+1,255)</f>
        <v>6</v>
      </c>
      <c r="O1" s="3"/>
    </row>
    <row r="2" spans="1:15" ht="28.5" customHeight="1">
      <c r="A2" s="4"/>
      <c r="B2" s="29">
        <v>1</v>
      </c>
      <c r="C2" s="29">
        <v>30</v>
      </c>
      <c r="D2" s="29">
        <v>42</v>
      </c>
      <c r="E2" s="29">
        <v>51</v>
      </c>
      <c r="F2" s="29">
        <v>61</v>
      </c>
      <c r="G2" s="29"/>
      <c r="H2" s="29">
        <v>1</v>
      </c>
      <c r="I2" s="29">
        <v>30</v>
      </c>
      <c r="J2" s="29">
        <v>42</v>
      </c>
      <c r="K2" s="29">
        <v>51</v>
      </c>
      <c r="L2" s="29">
        <v>61</v>
      </c>
      <c r="M2" s="4"/>
      <c r="O2" s="4"/>
    </row>
    <row r="3" spans="1:15" ht="28.5" customHeight="1">
      <c r="A3" s="4"/>
      <c r="B3" s="29">
        <v>3</v>
      </c>
      <c r="C3" s="29">
        <v>18</v>
      </c>
      <c r="D3" s="29">
        <v>38</v>
      </c>
      <c r="E3" s="29">
        <v>56</v>
      </c>
      <c r="F3" s="29">
        <v>68</v>
      </c>
      <c r="G3" s="29"/>
      <c r="H3" s="29">
        <v>3</v>
      </c>
      <c r="I3" s="29">
        <v>18</v>
      </c>
      <c r="J3" s="29">
        <v>38</v>
      </c>
      <c r="K3" s="29">
        <v>56</v>
      </c>
      <c r="L3" s="29">
        <v>68</v>
      </c>
      <c r="M3" s="4"/>
      <c r="O3" s="4"/>
    </row>
    <row r="4" spans="1:15" ht="28.5" customHeight="1">
      <c r="A4" s="4"/>
      <c r="B4" s="29">
        <v>11</v>
      </c>
      <c r="C4" s="29">
        <v>21</v>
      </c>
      <c r="D4" s="29" t="s">
        <v>44</v>
      </c>
      <c r="E4" s="29">
        <v>50</v>
      </c>
      <c r="F4" s="29">
        <v>73</v>
      </c>
      <c r="G4" s="29"/>
      <c r="H4" s="29">
        <v>11</v>
      </c>
      <c r="I4" s="29">
        <v>21</v>
      </c>
      <c r="J4" s="29" t="s">
        <v>44</v>
      </c>
      <c r="K4" s="29">
        <v>50</v>
      </c>
      <c r="L4" s="29">
        <v>73</v>
      </c>
      <c r="M4" s="4"/>
      <c r="O4" s="4"/>
    </row>
    <row r="5" spans="1:15" ht="28.5" customHeight="1">
      <c r="A5" s="4"/>
      <c r="B5" s="29">
        <v>7</v>
      </c>
      <c r="C5" s="29">
        <v>23</v>
      </c>
      <c r="D5" s="29">
        <v>44</v>
      </c>
      <c r="E5" s="29">
        <v>49</v>
      </c>
      <c r="F5" s="29">
        <v>66</v>
      </c>
      <c r="G5" s="29"/>
      <c r="H5" s="29">
        <v>7</v>
      </c>
      <c r="I5" s="29">
        <v>23</v>
      </c>
      <c r="J5" s="29">
        <v>44</v>
      </c>
      <c r="K5" s="29">
        <v>49</v>
      </c>
      <c r="L5" s="29">
        <v>66</v>
      </c>
      <c r="M5" s="4"/>
      <c r="O5" s="4"/>
    </row>
    <row r="6" spans="1:15" ht="28.5" customHeight="1">
      <c r="A6" s="4"/>
      <c r="B6" s="29">
        <v>10</v>
      </c>
      <c r="C6" s="29">
        <v>29</v>
      </c>
      <c r="D6" s="29">
        <v>41</v>
      </c>
      <c r="E6" s="29">
        <v>59</v>
      </c>
      <c r="F6" s="29">
        <v>64</v>
      </c>
      <c r="G6" s="29"/>
      <c r="H6" s="29">
        <v>10</v>
      </c>
      <c r="I6" s="29">
        <v>29</v>
      </c>
      <c r="J6" s="29">
        <v>41</v>
      </c>
      <c r="K6" s="29">
        <v>59</v>
      </c>
      <c r="L6" s="29">
        <v>64</v>
      </c>
      <c r="M6" s="4"/>
      <c r="O6" s="4"/>
    </row>
    <row r="7" spans="1:15" ht="28.5" customHeight="1"/>
    <row r="8" spans="1:15" ht="28.5" customHeight="1">
      <c r="A8" s="1"/>
      <c r="B8" s="27" t="s">
        <v>0</v>
      </c>
      <c r="C8" s="27" t="s">
        <v>1</v>
      </c>
      <c r="D8" s="27" t="s">
        <v>2</v>
      </c>
      <c r="E8" s="27" t="s">
        <v>3</v>
      </c>
      <c r="F8" s="27" t="s">
        <v>4</v>
      </c>
      <c r="G8" s="28"/>
      <c r="H8" s="27" t="s">
        <v>0</v>
      </c>
      <c r="I8" s="27" t="s">
        <v>1</v>
      </c>
      <c r="J8" s="27" t="s">
        <v>2</v>
      </c>
      <c r="K8" s="27" t="s">
        <v>3</v>
      </c>
      <c r="L8" s="27" t="s">
        <v>4</v>
      </c>
      <c r="M8" s="1"/>
      <c r="O8" s="1"/>
    </row>
    <row r="9" spans="1:15" ht="28.5" customHeight="1">
      <c r="A9" s="1"/>
      <c r="B9" s="29">
        <v>1</v>
      </c>
      <c r="C9" s="29">
        <v>29</v>
      </c>
      <c r="D9" s="29">
        <v>38</v>
      </c>
      <c r="E9" s="29">
        <v>50</v>
      </c>
      <c r="F9" s="29">
        <v>74</v>
      </c>
      <c r="G9" s="29"/>
      <c r="H9" s="29">
        <v>1</v>
      </c>
      <c r="I9" s="29">
        <v>29</v>
      </c>
      <c r="J9" s="29">
        <v>38</v>
      </c>
      <c r="K9" s="29">
        <v>50</v>
      </c>
      <c r="L9" s="29">
        <v>74</v>
      </c>
      <c r="M9" s="1"/>
      <c r="O9" s="1"/>
    </row>
    <row r="10" spans="1:15" ht="28.5" customHeight="1">
      <c r="A10" s="1"/>
      <c r="B10" s="29">
        <v>15</v>
      </c>
      <c r="C10" s="29">
        <v>22</v>
      </c>
      <c r="D10" s="29">
        <v>45</v>
      </c>
      <c r="E10" s="29">
        <v>58</v>
      </c>
      <c r="F10" s="29">
        <v>75</v>
      </c>
      <c r="G10" s="29"/>
      <c r="H10" s="29">
        <v>15</v>
      </c>
      <c r="I10" s="29">
        <v>22</v>
      </c>
      <c r="J10" s="29">
        <v>45</v>
      </c>
      <c r="K10" s="29">
        <v>58</v>
      </c>
      <c r="L10" s="29">
        <v>75</v>
      </c>
      <c r="M10" s="1"/>
      <c r="O10" s="1"/>
    </row>
    <row r="11" spans="1:15" ht="28.5" customHeight="1">
      <c r="A11" s="1"/>
      <c r="B11" s="29">
        <v>6</v>
      </c>
      <c r="C11" s="29">
        <v>30</v>
      </c>
      <c r="D11" s="29" t="s">
        <v>44</v>
      </c>
      <c r="E11" s="29">
        <v>59</v>
      </c>
      <c r="F11" s="29">
        <v>63</v>
      </c>
      <c r="G11" s="29"/>
      <c r="H11" s="29">
        <v>6</v>
      </c>
      <c r="I11" s="29">
        <v>30</v>
      </c>
      <c r="J11" s="29" t="s">
        <v>44</v>
      </c>
      <c r="K11" s="29">
        <v>59</v>
      </c>
      <c r="L11" s="29">
        <v>63</v>
      </c>
      <c r="M11" s="1"/>
      <c r="O11" s="1"/>
    </row>
    <row r="12" spans="1:15" ht="28.5" customHeight="1">
      <c r="A12" s="1"/>
      <c r="B12" s="29">
        <v>12</v>
      </c>
      <c r="C12" s="29">
        <v>24</v>
      </c>
      <c r="D12" s="29">
        <v>31</v>
      </c>
      <c r="E12" s="29">
        <v>56</v>
      </c>
      <c r="F12" s="29">
        <v>65</v>
      </c>
      <c r="G12" s="29"/>
      <c r="H12" s="29">
        <v>12</v>
      </c>
      <c r="I12" s="29">
        <v>24</v>
      </c>
      <c r="J12" s="29">
        <v>31</v>
      </c>
      <c r="K12" s="29">
        <v>56</v>
      </c>
      <c r="L12" s="29">
        <v>65</v>
      </c>
      <c r="M12" s="1"/>
      <c r="O12" s="1"/>
    </row>
    <row r="13" spans="1:15" ht="28.5" customHeight="1">
      <c r="A13" s="1"/>
      <c r="B13" s="29">
        <v>13</v>
      </c>
      <c r="C13" s="29">
        <v>26</v>
      </c>
      <c r="D13" s="29">
        <v>35</v>
      </c>
      <c r="E13" s="29">
        <v>53</v>
      </c>
      <c r="F13" s="29">
        <v>68</v>
      </c>
      <c r="G13" s="29"/>
      <c r="H13" s="29">
        <v>13</v>
      </c>
      <c r="I13" s="29">
        <v>26</v>
      </c>
      <c r="J13" s="29">
        <v>35</v>
      </c>
      <c r="K13" s="29">
        <v>53</v>
      </c>
      <c r="L13" s="29">
        <v>68</v>
      </c>
      <c r="M13" s="1"/>
      <c r="O13" s="1"/>
    </row>
    <row r="14" spans="1:15" ht="28.5" customHeight="1"/>
    <row r="15" spans="1:15" ht="28.5" customHeight="1">
      <c r="A15" s="1"/>
      <c r="B15" s="27" t="s">
        <v>0</v>
      </c>
      <c r="C15" s="27" t="s">
        <v>1</v>
      </c>
      <c r="D15" s="27" t="s">
        <v>2</v>
      </c>
      <c r="E15" s="27" t="s">
        <v>3</v>
      </c>
      <c r="F15" s="27" t="s">
        <v>4</v>
      </c>
      <c r="G15" s="28"/>
      <c r="H15" s="27" t="s">
        <v>0</v>
      </c>
      <c r="I15" s="27" t="s">
        <v>1</v>
      </c>
      <c r="J15" s="27" t="s">
        <v>2</v>
      </c>
      <c r="K15" s="27" t="s">
        <v>3</v>
      </c>
      <c r="L15" s="27" t="s">
        <v>4</v>
      </c>
      <c r="M15" s="1"/>
      <c r="O15" s="1"/>
    </row>
    <row r="16" spans="1:15" ht="28.5" customHeight="1">
      <c r="A16" s="1"/>
      <c r="B16" s="29">
        <v>5</v>
      </c>
      <c r="C16" s="29">
        <v>28</v>
      </c>
      <c r="D16" s="29">
        <v>37</v>
      </c>
      <c r="E16" s="29">
        <v>46</v>
      </c>
      <c r="F16" s="29">
        <v>64</v>
      </c>
      <c r="G16" s="29"/>
      <c r="H16" s="29">
        <v>5</v>
      </c>
      <c r="I16" s="29">
        <v>28</v>
      </c>
      <c r="J16" s="29">
        <v>37</v>
      </c>
      <c r="K16" s="29">
        <v>46</v>
      </c>
      <c r="L16" s="29">
        <v>64</v>
      </c>
      <c r="M16" s="1"/>
      <c r="O16" s="1"/>
    </row>
    <row r="17" spans="1:15" ht="28.5" customHeight="1">
      <c r="A17" s="1"/>
      <c r="B17" s="29">
        <v>6</v>
      </c>
      <c r="C17" s="29">
        <v>30</v>
      </c>
      <c r="D17" s="29">
        <v>34</v>
      </c>
      <c r="E17" s="29">
        <v>57</v>
      </c>
      <c r="F17" s="29">
        <v>69</v>
      </c>
      <c r="G17" s="29"/>
      <c r="H17" s="29">
        <v>6</v>
      </c>
      <c r="I17" s="29">
        <v>30</v>
      </c>
      <c r="J17" s="29">
        <v>34</v>
      </c>
      <c r="K17" s="29">
        <v>57</v>
      </c>
      <c r="L17" s="29">
        <v>69</v>
      </c>
      <c r="M17" s="1"/>
      <c r="O17" s="1"/>
    </row>
    <row r="18" spans="1:15" ht="28.5" customHeight="1">
      <c r="A18" s="1"/>
      <c r="B18" s="29">
        <v>12</v>
      </c>
      <c r="C18" s="29">
        <v>27</v>
      </c>
      <c r="D18" s="29" t="s">
        <v>44</v>
      </c>
      <c r="E18" s="29">
        <v>47</v>
      </c>
      <c r="F18" s="29">
        <v>65</v>
      </c>
      <c r="G18" s="29"/>
      <c r="H18" s="29">
        <v>12</v>
      </c>
      <c r="I18" s="29">
        <v>27</v>
      </c>
      <c r="J18" s="29" t="s">
        <v>44</v>
      </c>
      <c r="K18" s="29">
        <v>47</v>
      </c>
      <c r="L18" s="29">
        <v>65</v>
      </c>
      <c r="M18" s="1"/>
      <c r="O18" s="1"/>
    </row>
    <row r="19" spans="1:15" ht="28.5" customHeight="1">
      <c r="A19" s="1"/>
      <c r="B19" s="29">
        <v>9</v>
      </c>
      <c r="C19" s="29">
        <v>24</v>
      </c>
      <c r="D19" s="29">
        <v>35</v>
      </c>
      <c r="E19" s="29">
        <v>49</v>
      </c>
      <c r="F19" s="29">
        <v>75</v>
      </c>
      <c r="G19" s="29"/>
      <c r="H19" s="29">
        <v>9</v>
      </c>
      <c r="I19" s="29">
        <v>24</v>
      </c>
      <c r="J19" s="29">
        <v>35</v>
      </c>
      <c r="K19" s="29">
        <v>49</v>
      </c>
      <c r="L19" s="29">
        <v>75</v>
      </c>
      <c r="M19" s="1"/>
      <c r="O19" s="1"/>
    </row>
    <row r="20" spans="1:15" ht="28.5" customHeight="1">
      <c r="A20" s="1"/>
      <c r="B20" s="29">
        <v>1</v>
      </c>
      <c r="C20" s="29">
        <v>23</v>
      </c>
      <c r="D20" s="29">
        <v>31</v>
      </c>
      <c r="E20" s="29">
        <v>53</v>
      </c>
      <c r="F20" s="29">
        <v>70</v>
      </c>
      <c r="G20" s="29"/>
      <c r="H20" s="29">
        <v>1</v>
      </c>
      <c r="I20" s="29">
        <v>23</v>
      </c>
      <c r="J20" s="29">
        <v>31</v>
      </c>
      <c r="K20" s="29">
        <v>53</v>
      </c>
      <c r="L20" s="29">
        <v>70</v>
      </c>
      <c r="M20" s="1"/>
      <c r="O20" s="1"/>
    </row>
    <row r="21" spans="1:15" ht="28.5" customHeight="1"/>
  </sheetData>
  <phoneticPr fontId="20" type="noConversion"/>
  <pageMargins left="0.7" right="0.7" top="0.75" bottom="0.75" header="0.3" footer="0.3"/>
  <pageSetup paperSize="9" scale="90" orientation="portrait" r:id="rId1"/>
  <rowBreaks count="1" manualBreakCount="1">
    <brk id="21" max="13" man="1"/>
  </row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8DBD3C47-ABDC-4DA5-B50C-9395A7431431}">
            <xm:f>HLOOKUP(B2,Cards!$O$2:$DQ$2,1,FALSE)</xm:f>
            <x14:dxf>
              <font>
                <b val="0"/>
                <i/>
                <strike val="0"/>
                <color theme="5"/>
              </font>
            </x14:dxf>
          </x14:cfRule>
          <xm:sqref>B2:L20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O21"/>
  <sheetViews>
    <sheetView zoomScaleNormal="100" zoomScaleSheetLayoutView="70" workbookViewId="0">
      <selection activeCell="L15" sqref="B15:L20"/>
    </sheetView>
  </sheetViews>
  <sheetFormatPr defaultRowHeight="33.75"/>
  <cols>
    <col min="1" max="1" width="4.140625" customWidth="1"/>
    <col min="2" max="6" width="8.7109375" style="5" customWidth="1"/>
    <col min="7" max="7" width="3.140625" customWidth="1"/>
    <col min="8" max="12" width="8.7109375" style="5" customWidth="1"/>
    <col min="13" max="13" width="4.140625" customWidth="1"/>
  </cols>
  <sheetData>
    <row r="1" spans="1:15" ht="28.5" customHeight="1">
      <c r="A1" s="3"/>
      <c r="B1" s="27" t="s">
        <v>0</v>
      </c>
      <c r="C1" s="27" t="s">
        <v>1</v>
      </c>
      <c r="D1" s="27" t="s">
        <v>2</v>
      </c>
      <c r="E1" s="27" t="s">
        <v>3</v>
      </c>
      <c r="F1" s="27" t="s">
        <v>4</v>
      </c>
      <c r="G1" s="28"/>
      <c r="H1" s="27" t="s">
        <v>0</v>
      </c>
      <c r="I1" s="27" t="s">
        <v>1</v>
      </c>
      <c r="J1" s="27" t="s">
        <v>2</v>
      </c>
      <c r="K1" s="27" t="s">
        <v>3</v>
      </c>
      <c r="L1" s="27" t="s">
        <v>4</v>
      </c>
      <c r="M1" s="3"/>
      <c r="N1" s="5" t="str">
        <f ca="1">MID(CELL("filename",A1),FIND("]",CELL("filename",A1))+1,255)</f>
        <v>1 (7)</v>
      </c>
      <c r="O1" s="3"/>
    </row>
    <row r="2" spans="1:15" ht="28.5" customHeight="1">
      <c r="A2" s="4"/>
      <c r="B2" s="29">
        <v>2</v>
      </c>
      <c r="C2" s="29">
        <v>23</v>
      </c>
      <c r="D2" s="29">
        <v>35</v>
      </c>
      <c r="E2" s="29">
        <v>47</v>
      </c>
      <c r="F2" s="29">
        <v>75</v>
      </c>
      <c r="G2" s="29"/>
      <c r="H2" s="29">
        <v>2</v>
      </c>
      <c r="I2" s="29">
        <v>23</v>
      </c>
      <c r="J2" s="29">
        <v>35</v>
      </c>
      <c r="K2" s="29">
        <v>47</v>
      </c>
      <c r="L2" s="29">
        <v>75</v>
      </c>
      <c r="M2" s="4"/>
      <c r="O2" s="4"/>
    </row>
    <row r="3" spans="1:15" ht="28.5" customHeight="1">
      <c r="A3" s="4"/>
      <c r="B3" s="29">
        <v>3</v>
      </c>
      <c r="C3" s="29">
        <v>26</v>
      </c>
      <c r="D3" s="29">
        <v>31</v>
      </c>
      <c r="E3" s="29">
        <v>54</v>
      </c>
      <c r="F3" s="29">
        <v>62</v>
      </c>
      <c r="G3" s="29"/>
      <c r="H3" s="29">
        <v>3</v>
      </c>
      <c r="I3" s="29">
        <v>26</v>
      </c>
      <c r="J3" s="29">
        <v>31</v>
      </c>
      <c r="K3" s="29">
        <v>54</v>
      </c>
      <c r="L3" s="29">
        <v>62</v>
      </c>
      <c r="M3" s="4"/>
      <c r="O3" s="4"/>
    </row>
    <row r="4" spans="1:15" ht="28.5" customHeight="1">
      <c r="A4" s="4"/>
      <c r="B4" s="29">
        <v>7</v>
      </c>
      <c r="C4" s="29">
        <v>21</v>
      </c>
      <c r="D4" s="29" t="s">
        <v>44</v>
      </c>
      <c r="E4" s="29">
        <v>52</v>
      </c>
      <c r="F4" s="29">
        <v>63</v>
      </c>
      <c r="G4" s="29"/>
      <c r="H4" s="29">
        <v>7</v>
      </c>
      <c r="I4" s="29">
        <v>21</v>
      </c>
      <c r="J4" s="29" t="s">
        <v>44</v>
      </c>
      <c r="K4" s="29">
        <v>52</v>
      </c>
      <c r="L4" s="29">
        <v>63</v>
      </c>
      <c r="M4" s="4"/>
      <c r="O4" s="4"/>
    </row>
    <row r="5" spans="1:15" ht="28.5" customHeight="1">
      <c r="A5" s="4"/>
      <c r="B5" s="29">
        <v>8</v>
      </c>
      <c r="C5" s="29">
        <v>19</v>
      </c>
      <c r="D5" s="29">
        <v>37</v>
      </c>
      <c r="E5" s="29">
        <v>49</v>
      </c>
      <c r="F5" s="29">
        <v>61</v>
      </c>
      <c r="G5" s="29"/>
      <c r="H5" s="29">
        <v>8</v>
      </c>
      <c r="I5" s="29">
        <v>19</v>
      </c>
      <c r="J5" s="29">
        <v>37</v>
      </c>
      <c r="K5" s="29">
        <v>49</v>
      </c>
      <c r="L5" s="29">
        <v>61</v>
      </c>
      <c r="M5" s="4"/>
      <c r="O5" s="4"/>
    </row>
    <row r="6" spans="1:15" ht="28.5" customHeight="1">
      <c r="A6" s="4"/>
      <c r="B6" s="29">
        <v>4</v>
      </c>
      <c r="C6" s="29">
        <v>22</v>
      </c>
      <c r="D6" s="29">
        <v>43</v>
      </c>
      <c r="E6" s="29">
        <v>56</v>
      </c>
      <c r="F6" s="29">
        <v>73</v>
      </c>
      <c r="G6" s="29"/>
      <c r="H6" s="29">
        <v>4</v>
      </c>
      <c r="I6" s="29">
        <v>22</v>
      </c>
      <c r="J6" s="29">
        <v>43</v>
      </c>
      <c r="K6" s="29">
        <v>56</v>
      </c>
      <c r="L6" s="29">
        <v>73</v>
      </c>
      <c r="M6" s="4"/>
      <c r="O6" s="4"/>
    </row>
    <row r="7" spans="1:15" ht="28.5" customHeight="1"/>
    <row r="8" spans="1:15" ht="28.5" customHeight="1">
      <c r="A8" s="1"/>
      <c r="B8" s="27" t="s">
        <v>0</v>
      </c>
      <c r="C8" s="27" t="s">
        <v>1</v>
      </c>
      <c r="D8" s="27" t="s">
        <v>2</v>
      </c>
      <c r="E8" s="27" t="s">
        <v>3</v>
      </c>
      <c r="F8" s="27" t="s">
        <v>4</v>
      </c>
      <c r="G8" s="28"/>
      <c r="H8" s="27" t="s">
        <v>0</v>
      </c>
      <c r="I8" s="27" t="s">
        <v>1</v>
      </c>
      <c r="J8" s="27" t="s">
        <v>2</v>
      </c>
      <c r="K8" s="27" t="s">
        <v>3</v>
      </c>
      <c r="L8" s="27" t="s">
        <v>4</v>
      </c>
      <c r="M8" s="1"/>
      <c r="O8" s="1"/>
    </row>
    <row r="9" spans="1:15" ht="28.5" customHeight="1">
      <c r="A9" s="1"/>
      <c r="B9" s="29">
        <v>13</v>
      </c>
      <c r="C9" s="29">
        <v>27</v>
      </c>
      <c r="D9" s="29">
        <v>35</v>
      </c>
      <c r="E9" s="29">
        <v>59</v>
      </c>
      <c r="F9" s="29">
        <v>61</v>
      </c>
      <c r="G9" s="29"/>
      <c r="H9" s="29">
        <v>13</v>
      </c>
      <c r="I9" s="29">
        <v>27</v>
      </c>
      <c r="J9" s="29">
        <v>35</v>
      </c>
      <c r="K9" s="29">
        <v>59</v>
      </c>
      <c r="L9" s="29">
        <v>61</v>
      </c>
      <c r="M9" s="1"/>
      <c r="O9" s="1"/>
    </row>
    <row r="10" spans="1:15" ht="28.5" customHeight="1">
      <c r="A10" s="1"/>
      <c r="B10" s="29">
        <v>12</v>
      </c>
      <c r="C10" s="29">
        <v>21</v>
      </c>
      <c r="D10" s="29">
        <v>39</v>
      </c>
      <c r="E10" s="29">
        <v>52</v>
      </c>
      <c r="F10" s="29">
        <v>71</v>
      </c>
      <c r="G10" s="29"/>
      <c r="H10" s="29">
        <v>12</v>
      </c>
      <c r="I10" s="29">
        <v>21</v>
      </c>
      <c r="J10" s="29">
        <v>39</v>
      </c>
      <c r="K10" s="29">
        <v>52</v>
      </c>
      <c r="L10" s="29">
        <v>71</v>
      </c>
      <c r="M10" s="1"/>
      <c r="O10" s="1"/>
    </row>
    <row r="11" spans="1:15" ht="28.5" customHeight="1">
      <c r="A11" s="1"/>
      <c r="B11" s="29">
        <v>8</v>
      </c>
      <c r="C11" s="29">
        <v>16</v>
      </c>
      <c r="D11" s="29" t="s">
        <v>44</v>
      </c>
      <c r="E11" s="29">
        <v>55</v>
      </c>
      <c r="F11" s="29">
        <v>64</v>
      </c>
      <c r="G11" s="29"/>
      <c r="H11" s="29">
        <v>8</v>
      </c>
      <c r="I11" s="29">
        <v>16</v>
      </c>
      <c r="J11" s="29" t="s">
        <v>44</v>
      </c>
      <c r="K11" s="29">
        <v>55</v>
      </c>
      <c r="L11" s="29">
        <v>64</v>
      </c>
      <c r="M11" s="1"/>
      <c r="O11" s="1"/>
    </row>
    <row r="12" spans="1:15" ht="28.5" customHeight="1">
      <c r="A12" s="1"/>
      <c r="B12" s="29">
        <v>1</v>
      </c>
      <c r="C12" s="29">
        <v>24</v>
      </c>
      <c r="D12" s="29">
        <v>42</v>
      </c>
      <c r="E12" s="29">
        <v>46</v>
      </c>
      <c r="F12" s="29">
        <v>68</v>
      </c>
      <c r="G12" s="29"/>
      <c r="H12" s="29">
        <v>1</v>
      </c>
      <c r="I12" s="29">
        <v>24</v>
      </c>
      <c r="J12" s="29">
        <v>42</v>
      </c>
      <c r="K12" s="29">
        <v>46</v>
      </c>
      <c r="L12" s="29">
        <v>68</v>
      </c>
      <c r="M12" s="1"/>
      <c r="O12" s="1"/>
    </row>
    <row r="13" spans="1:15" ht="28.5" customHeight="1">
      <c r="A13" s="1"/>
      <c r="B13" s="29">
        <v>2</v>
      </c>
      <c r="C13" s="29">
        <v>23</v>
      </c>
      <c r="D13" s="29">
        <v>36</v>
      </c>
      <c r="E13" s="29">
        <v>60</v>
      </c>
      <c r="F13" s="29">
        <v>67</v>
      </c>
      <c r="G13" s="29"/>
      <c r="H13" s="29">
        <v>2</v>
      </c>
      <c r="I13" s="29">
        <v>23</v>
      </c>
      <c r="J13" s="29">
        <v>36</v>
      </c>
      <c r="K13" s="29">
        <v>60</v>
      </c>
      <c r="L13" s="29">
        <v>67</v>
      </c>
      <c r="M13" s="1"/>
      <c r="O13" s="1"/>
    </row>
    <row r="14" spans="1:15" ht="28.5" customHeight="1"/>
    <row r="15" spans="1:15" ht="28.5" customHeight="1">
      <c r="A15" s="1"/>
      <c r="B15" s="27"/>
      <c r="C15" s="27"/>
      <c r="D15" s="27"/>
      <c r="E15" s="27"/>
      <c r="F15" s="27"/>
      <c r="G15" s="28"/>
      <c r="H15" s="27"/>
      <c r="I15" s="27"/>
      <c r="J15" s="27"/>
      <c r="K15" s="27"/>
      <c r="L15" s="27"/>
      <c r="M15" s="1"/>
      <c r="O15" s="1"/>
    </row>
    <row r="16" spans="1:15" ht="28.5" customHeight="1">
      <c r="A16" s="1"/>
      <c r="B16" s="29"/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1"/>
      <c r="O16" s="1"/>
    </row>
    <row r="17" spans="1:15" ht="28.5" customHeight="1">
      <c r="A17" s="1"/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1"/>
      <c r="O17" s="1"/>
    </row>
    <row r="18" spans="1:15" ht="28.5" customHeight="1">
      <c r="A18" s="1"/>
      <c r="B18" s="29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1"/>
      <c r="O18" s="1"/>
    </row>
    <row r="19" spans="1:15" ht="28.5" customHeight="1">
      <c r="A19" s="1"/>
      <c r="B19" s="29"/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1"/>
      <c r="O19" s="1"/>
    </row>
    <row r="20" spans="1:15" ht="28.5" customHeight="1">
      <c r="A20" s="1"/>
      <c r="B20" s="29"/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1"/>
      <c r="O20" s="1"/>
    </row>
    <row r="21" spans="1:15" ht="28.5" customHeight="1"/>
  </sheetData>
  <phoneticPr fontId="20" type="noConversion"/>
  <pageMargins left="0.7" right="0.7" top="0.75" bottom="0.75" header="0.3" footer="0.3"/>
  <pageSetup paperSize="9" scale="90" orientation="portrait" r:id="rId1"/>
  <rowBreaks count="1" manualBreakCount="1">
    <brk id="21" max="13" man="1"/>
  </row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336BCCA2-5824-4CA0-BB55-3310D86C3579}">
            <xm:f>HLOOKUP(B2,Cards!$O$2:$DQ$2,1,FALSE)</xm:f>
            <x14:dxf>
              <font>
                <b val="0"/>
                <i/>
                <strike val="0"/>
                <color theme="5"/>
              </font>
            </x14:dxf>
          </x14:cfRule>
          <xm:sqref>B2:L20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O21"/>
  <sheetViews>
    <sheetView zoomScaleNormal="100" zoomScaleSheetLayoutView="70" workbookViewId="0">
      <selection activeCell="T9" sqref="T9"/>
    </sheetView>
  </sheetViews>
  <sheetFormatPr defaultRowHeight="33.75"/>
  <cols>
    <col min="1" max="1" width="4.140625" customWidth="1"/>
    <col min="2" max="6" width="8.7109375" style="5" customWidth="1"/>
    <col min="7" max="7" width="3.140625" customWidth="1"/>
    <col min="8" max="12" width="8.7109375" style="5" customWidth="1"/>
    <col min="13" max="13" width="4.140625" customWidth="1"/>
  </cols>
  <sheetData>
    <row r="1" spans="1:15" ht="28.5" customHeight="1">
      <c r="A1" s="3"/>
      <c r="B1" s="27" t="s">
        <v>0</v>
      </c>
      <c r="C1" s="27" t="s">
        <v>1</v>
      </c>
      <c r="D1" s="27" t="s">
        <v>2</v>
      </c>
      <c r="E1" s="27" t="s">
        <v>3</v>
      </c>
      <c r="F1" s="27" t="s">
        <v>4</v>
      </c>
      <c r="G1" s="28"/>
      <c r="H1" s="27" t="s">
        <v>0</v>
      </c>
      <c r="I1" s="27" t="s">
        <v>1</v>
      </c>
      <c r="J1" s="27" t="s">
        <v>2</v>
      </c>
      <c r="K1" s="27" t="s">
        <v>3</v>
      </c>
      <c r="L1" s="27" t="s">
        <v>4</v>
      </c>
      <c r="M1" s="3"/>
      <c r="N1" s="5" t="str">
        <f ca="1">MID(CELL("filename",A1),FIND("]",CELL("filename",A1))+1,255)</f>
        <v>1 (8)</v>
      </c>
      <c r="O1" s="3"/>
    </row>
    <row r="2" spans="1:15" ht="28.5" customHeight="1">
      <c r="A2" s="4"/>
      <c r="B2" s="29">
        <v>13</v>
      </c>
      <c r="C2" s="29">
        <v>25</v>
      </c>
      <c r="D2" s="29">
        <v>33</v>
      </c>
      <c r="E2" s="29">
        <v>54</v>
      </c>
      <c r="F2" s="29">
        <v>75</v>
      </c>
      <c r="G2" s="29"/>
      <c r="H2" s="29">
        <v>13</v>
      </c>
      <c r="I2" s="29">
        <v>25</v>
      </c>
      <c r="J2" s="29">
        <v>33</v>
      </c>
      <c r="K2" s="29">
        <v>54</v>
      </c>
      <c r="L2" s="29">
        <v>75</v>
      </c>
      <c r="M2" s="4"/>
      <c r="O2" s="4"/>
    </row>
    <row r="3" spans="1:15" ht="28.5" customHeight="1">
      <c r="A3" s="4"/>
      <c r="B3" s="29">
        <v>9</v>
      </c>
      <c r="C3" s="29">
        <v>24</v>
      </c>
      <c r="D3" s="29">
        <v>36</v>
      </c>
      <c r="E3" s="29">
        <v>55</v>
      </c>
      <c r="F3" s="29">
        <v>73</v>
      </c>
      <c r="G3" s="29"/>
      <c r="H3" s="29">
        <v>9</v>
      </c>
      <c r="I3" s="29">
        <v>24</v>
      </c>
      <c r="J3" s="29">
        <v>36</v>
      </c>
      <c r="K3" s="29">
        <v>55</v>
      </c>
      <c r="L3" s="29">
        <v>73</v>
      </c>
      <c r="M3" s="4"/>
      <c r="O3" s="4"/>
    </row>
    <row r="4" spans="1:15" ht="28.5" customHeight="1">
      <c r="A4" s="4"/>
      <c r="B4" s="29">
        <v>6</v>
      </c>
      <c r="C4" s="29">
        <v>20</v>
      </c>
      <c r="D4" s="29" t="s">
        <v>44</v>
      </c>
      <c r="E4" s="29">
        <v>53</v>
      </c>
      <c r="F4" s="29">
        <v>61</v>
      </c>
      <c r="G4" s="29"/>
      <c r="H4" s="29">
        <v>6</v>
      </c>
      <c r="I4" s="29">
        <v>20</v>
      </c>
      <c r="J4" s="29" t="s">
        <v>44</v>
      </c>
      <c r="K4" s="29">
        <v>53</v>
      </c>
      <c r="L4" s="29">
        <v>61</v>
      </c>
      <c r="M4" s="4"/>
      <c r="O4" s="4"/>
    </row>
    <row r="5" spans="1:15" ht="28.5" customHeight="1">
      <c r="A5" s="4"/>
      <c r="B5" s="29">
        <v>5</v>
      </c>
      <c r="C5" s="29">
        <v>22</v>
      </c>
      <c r="D5" s="29">
        <v>37</v>
      </c>
      <c r="E5" s="29">
        <v>52</v>
      </c>
      <c r="F5" s="29">
        <v>72</v>
      </c>
      <c r="G5" s="29"/>
      <c r="H5" s="29">
        <v>5</v>
      </c>
      <c r="I5" s="29">
        <v>22</v>
      </c>
      <c r="J5" s="29">
        <v>37</v>
      </c>
      <c r="K5" s="29">
        <v>52</v>
      </c>
      <c r="L5" s="29">
        <v>72</v>
      </c>
      <c r="M5" s="4"/>
      <c r="O5" s="4"/>
    </row>
    <row r="6" spans="1:15" ht="28.5" customHeight="1">
      <c r="A6" s="4"/>
      <c r="B6" s="29">
        <v>2</v>
      </c>
      <c r="C6" s="29">
        <v>26</v>
      </c>
      <c r="D6" s="29">
        <v>42</v>
      </c>
      <c r="E6" s="29">
        <v>48</v>
      </c>
      <c r="F6" s="29">
        <v>65</v>
      </c>
      <c r="G6" s="29"/>
      <c r="H6" s="29">
        <v>2</v>
      </c>
      <c r="I6" s="29">
        <v>26</v>
      </c>
      <c r="J6" s="29">
        <v>42</v>
      </c>
      <c r="K6" s="29">
        <v>48</v>
      </c>
      <c r="L6" s="29">
        <v>65</v>
      </c>
      <c r="M6" s="4"/>
      <c r="O6" s="4"/>
    </row>
    <row r="7" spans="1:15" ht="28.5" customHeight="1"/>
    <row r="8" spans="1:15" ht="28.5" customHeight="1">
      <c r="A8" s="1"/>
      <c r="B8" s="27" t="s">
        <v>0</v>
      </c>
      <c r="C8" s="27" t="s">
        <v>1</v>
      </c>
      <c r="D8" s="27" t="s">
        <v>2</v>
      </c>
      <c r="E8" s="27" t="s">
        <v>3</v>
      </c>
      <c r="F8" s="27" t="s">
        <v>4</v>
      </c>
      <c r="G8" s="28"/>
      <c r="H8" s="27" t="s">
        <v>0</v>
      </c>
      <c r="I8" s="27" t="s">
        <v>1</v>
      </c>
      <c r="J8" s="27" t="s">
        <v>2</v>
      </c>
      <c r="K8" s="27" t="s">
        <v>3</v>
      </c>
      <c r="L8" s="27" t="s">
        <v>4</v>
      </c>
      <c r="M8" s="1"/>
      <c r="O8" s="1"/>
    </row>
    <row r="9" spans="1:15" ht="28.5" customHeight="1">
      <c r="A9" s="1"/>
      <c r="B9" s="29">
        <v>2</v>
      </c>
      <c r="C9" s="29">
        <v>25</v>
      </c>
      <c r="D9" s="29">
        <v>38</v>
      </c>
      <c r="E9" s="29">
        <v>56</v>
      </c>
      <c r="F9" s="29">
        <v>65</v>
      </c>
      <c r="G9" s="29"/>
      <c r="H9" s="29">
        <v>2</v>
      </c>
      <c r="I9" s="29">
        <v>25</v>
      </c>
      <c r="J9" s="29">
        <v>38</v>
      </c>
      <c r="K9" s="29">
        <v>56</v>
      </c>
      <c r="L9" s="29">
        <v>65</v>
      </c>
      <c r="M9" s="1"/>
      <c r="O9" s="1"/>
    </row>
    <row r="10" spans="1:15" ht="28.5" customHeight="1">
      <c r="A10" s="1"/>
      <c r="B10" s="29">
        <v>4</v>
      </c>
      <c r="C10" s="29">
        <v>18</v>
      </c>
      <c r="D10" s="29">
        <v>36</v>
      </c>
      <c r="E10" s="29">
        <v>59</v>
      </c>
      <c r="F10" s="29">
        <v>74</v>
      </c>
      <c r="G10" s="29"/>
      <c r="H10" s="29">
        <v>4</v>
      </c>
      <c r="I10" s="29">
        <v>18</v>
      </c>
      <c r="J10" s="29">
        <v>36</v>
      </c>
      <c r="K10" s="29">
        <v>59</v>
      </c>
      <c r="L10" s="29">
        <v>74</v>
      </c>
      <c r="M10" s="1"/>
      <c r="O10" s="1"/>
    </row>
    <row r="11" spans="1:15" ht="28.5" customHeight="1">
      <c r="A11" s="1"/>
      <c r="B11" s="29">
        <v>3</v>
      </c>
      <c r="C11" s="29">
        <v>27</v>
      </c>
      <c r="D11" s="29" t="s">
        <v>44</v>
      </c>
      <c r="E11" s="29">
        <v>47</v>
      </c>
      <c r="F11" s="29">
        <v>61</v>
      </c>
      <c r="G11" s="29"/>
      <c r="H11" s="29">
        <v>3</v>
      </c>
      <c r="I11" s="29">
        <v>27</v>
      </c>
      <c r="J11" s="29" t="s">
        <v>44</v>
      </c>
      <c r="K11" s="29">
        <v>47</v>
      </c>
      <c r="L11" s="29">
        <v>61</v>
      </c>
      <c r="M11" s="1"/>
      <c r="O11" s="1"/>
    </row>
    <row r="12" spans="1:15" ht="28.5" customHeight="1">
      <c r="A12" s="1"/>
      <c r="B12" s="29">
        <v>6</v>
      </c>
      <c r="C12" s="29">
        <v>21</v>
      </c>
      <c r="D12" s="29">
        <v>39</v>
      </c>
      <c r="E12" s="29">
        <v>46</v>
      </c>
      <c r="F12" s="29">
        <v>62</v>
      </c>
      <c r="G12" s="29"/>
      <c r="H12" s="29">
        <v>6</v>
      </c>
      <c r="I12" s="29">
        <v>21</v>
      </c>
      <c r="J12" s="29">
        <v>39</v>
      </c>
      <c r="K12" s="29">
        <v>46</v>
      </c>
      <c r="L12" s="29">
        <v>62</v>
      </c>
      <c r="M12" s="1"/>
      <c r="O12" s="1"/>
    </row>
    <row r="13" spans="1:15" ht="28.5" customHeight="1">
      <c r="A13" s="1"/>
      <c r="B13" s="29">
        <v>13</v>
      </c>
      <c r="C13" s="29">
        <v>26</v>
      </c>
      <c r="D13" s="29">
        <v>43</v>
      </c>
      <c r="E13" s="29">
        <v>48</v>
      </c>
      <c r="F13" s="29">
        <v>69</v>
      </c>
      <c r="G13" s="29"/>
      <c r="H13" s="29">
        <v>13</v>
      </c>
      <c r="I13" s="29">
        <v>26</v>
      </c>
      <c r="J13" s="29">
        <v>43</v>
      </c>
      <c r="K13" s="29">
        <v>48</v>
      </c>
      <c r="L13" s="29">
        <v>69</v>
      </c>
      <c r="M13" s="1"/>
      <c r="O13" s="1"/>
    </row>
    <row r="14" spans="1:15" ht="28.5" customHeight="1"/>
    <row r="15" spans="1:15" ht="28.5" customHeight="1">
      <c r="A15" s="1"/>
      <c r="B15" s="27"/>
      <c r="C15" s="27"/>
      <c r="D15" s="27"/>
      <c r="E15" s="27"/>
      <c r="F15" s="27"/>
      <c r="G15" s="28"/>
      <c r="H15" s="27"/>
      <c r="I15" s="27"/>
      <c r="J15" s="27"/>
      <c r="K15" s="27"/>
      <c r="L15" s="27"/>
      <c r="M15" s="1"/>
      <c r="O15" s="1"/>
    </row>
    <row r="16" spans="1:15" ht="28.5" customHeight="1">
      <c r="A16" s="1"/>
      <c r="B16" s="29"/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1"/>
      <c r="O16" s="1"/>
    </row>
    <row r="17" spans="1:15" ht="28.5" customHeight="1">
      <c r="A17" s="1"/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1"/>
      <c r="O17" s="1"/>
    </row>
    <row r="18" spans="1:15" ht="28.5" customHeight="1">
      <c r="A18" s="1"/>
      <c r="B18" s="29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1"/>
      <c r="O18" s="1"/>
    </row>
    <row r="19" spans="1:15" ht="28.5" customHeight="1">
      <c r="A19" s="1"/>
      <c r="B19" s="29"/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1"/>
      <c r="O19" s="1"/>
    </row>
    <row r="20" spans="1:15" ht="28.5" customHeight="1">
      <c r="A20" s="1"/>
      <c r="B20" s="29"/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1"/>
      <c r="O20" s="1"/>
    </row>
    <row r="21" spans="1:15" ht="28.5" customHeight="1"/>
  </sheetData>
  <phoneticPr fontId="20" type="noConversion"/>
  <pageMargins left="0.7" right="0.7" top="0.75" bottom="0.75" header="0.3" footer="0.3"/>
  <pageSetup paperSize="9" scale="90" orientation="portrait" r:id="rId1"/>
  <rowBreaks count="1" manualBreakCount="1">
    <brk id="21" max="13" man="1"/>
  </row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456DADDA-25B9-451C-AFDB-10D29DC37205}">
            <xm:f>HLOOKUP(B2,Cards!$O$2:$DQ$2,1,FALSE)</xm:f>
            <x14:dxf>
              <font>
                <b val="0"/>
                <i/>
                <strike val="0"/>
                <color theme="5"/>
              </font>
            </x14:dxf>
          </x14:cfRule>
          <xm:sqref>B2:L20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O21"/>
  <sheetViews>
    <sheetView zoomScaleNormal="100" zoomScaleSheetLayoutView="70" workbookViewId="0">
      <selection activeCell="L15" sqref="B15:L20"/>
    </sheetView>
  </sheetViews>
  <sheetFormatPr defaultRowHeight="33.75"/>
  <cols>
    <col min="1" max="1" width="4.140625" customWidth="1"/>
    <col min="2" max="6" width="8.7109375" style="5" customWidth="1"/>
    <col min="7" max="7" width="3.140625" customWidth="1"/>
    <col min="8" max="12" width="8.7109375" style="5" customWidth="1"/>
    <col min="13" max="13" width="4.140625" customWidth="1"/>
  </cols>
  <sheetData>
    <row r="1" spans="1:15" ht="28.5" customHeight="1">
      <c r="A1" s="3"/>
      <c r="B1" s="27" t="s">
        <v>0</v>
      </c>
      <c r="C1" s="27" t="s">
        <v>1</v>
      </c>
      <c r="D1" s="27" t="s">
        <v>2</v>
      </c>
      <c r="E1" s="27" t="s">
        <v>3</v>
      </c>
      <c r="F1" s="27" t="s">
        <v>4</v>
      </c>
      <c r="G1" s="28"/>
      <c r="H1" s="27" t="s">
        <v>0</v>
      </c>
      <c r="I1" s="27" t="s">
        <v>1</v>
      </c>
      <c r="J1" s="27" t="s">
        <v>2</v>
      </c>
      <c r="K1" s="27" t="s">
        <v>3</v>
      </c>
      <c r="L1" s="27" t="s">
        <v>4</v>
      </c>
      <c r="M1" s="3"/>
      <c r="N1" s="5" t="str">
        <f ca="1">MID(CELL("filename",A1),FIND("]",CELL("filename",A1))+1,255)</f>
        <v>1 (9)</v>
      </c>
      <c r="O1" s="3"/>
    </row>
    <row r="2" spans="1:15" ht="28.5" customHeight="1">
      <c r="A2" s="4"/>
      <c r="B2" s="29">
        <v>12</v>
      </c>
      <c r="C2" s="29">
        <v>26</v>
      </c>
      <c r="D2" s="29">
        <v>41</v>
      </c>
      <c r="E2" s="29">
        <v>60</v>
      </c>
      <c r="F2" s="29">
        <v>74</v>
      </c>
      <c r="G2" s="29"/>
      <c r="H2" s="29">
        <v>12</v>
      </c>
      <c r="I2" s="29">
        <v>26</v>
      </c>
      <c r="J2" s="29">
        <v>41</v>
      </c>
      <c r="K2" s="29">
        <v>60</v>
      </c>
      <c r="L2" s="29">
        <v>74</v>
      </c>
      <c r="M2" s="4"/>
      <c r="O2" s="4"/>
    </row>
    <row r="3" spans="1:15" ht="28.5" customHeight="1">
      <c r="A3" s="4"/>
      <c r="B3" s="29">
        <v>10</v>
      </c>
      <c r="C3" s="29">
        <v>27</v>
      </c>
      <c r="D3" s="29">
        <v>37</v>
      </c>
      <c r="E3" s="29">
        <v>59</v>
      </c>
      <c r="F3" s="29">
        <v>71</v>
      </c>
      <c r="G3" s="29"/>
      <c r="H3" s="29">
        <v>10</v>
      </c>
      <c r="I3" s="29">
        <v>27</v>
      </c>
      <c r="J3" s="29">
        <v>37</v>
      </c>
      <c r="K3" s="29">
        <v>59</v>
      </c>
      <c r="L3" s="29">
        <v>71</v>
      </c>
      <c r="M3" s="4"/>
      <c r="O3" s="4"/>
    </row>
    <row r="4" spans="1:15" ht="28.5" customHeight="1">
      <c r="A4" s="4"/>
      <c r="B4" s="29">
        <v>11</v>
      </c>
      <c r="C4" s="29">
        <v>28</v>
      </c>
      <c r="D4" s="29" t="s">
        <v>44</v>
      </c>
      <c r="E4" s="29">
        <v>50</v>
      </c>
      <c r="F4" s="29">
        <v>65</v>
      </c>
      <c r="G4" s="29"/>
      <c r="H4" s="29">
        <v>11</v>
      </c>
      <c r="I4" s="29">
        <v>28</v>
      </c>
      <c r="J4" s="29" t="s">
        <v>44</v>
      </c>
      <c r="K4" s="29">
        <v>50</v>
      </c>
      <c r="L4" s="29">
        <v>65</v>
      </c>
      <c r="M4" s="4"/>
      <c r="O4" s="4"/>
    </row>
    <row r="5" spans="1:15" ht="28.5" customHeight="1">
      <c r="A5" s="4"/>
      <c r="B5" s="29">
        <v>15</v>
      </c>
      <c r="C5" s="29">
        <v>25</v>
      </c>
      <c r="D5" s="29">
        <v>42</v>
      </c>
      <c r="E5" s="29">
        <v>57</v>
      </c>
      <c r="F5" s="29">
        <v>69</v>
      </c>
      <c r="G5" s="29"/>
      <c r="H5" s="29">
        <v>15</v>
      </c>
      <c r="I5" s="29">
        <v>25</v>
      </c>
      <c r="J5" s="29">
        <v>42</v>
      </c>
      <c r="K5" s="29">
        <v>57</v>
      </c>
      <c r="L5" s="29">
        <v>69</v>
      </c>
      <c r="M5" s="4"/>
      <c r="O5" s="4"/>
    </row>
    <row r="6" spans="1:15" ht="28.5" customHeight="1">
      <c r="A6" s="4"/>
      <c r="B6" s="29">
        <v>1</v>
      </c>
      <c r="C6" s="29">
        <v>18</v>
      </c>
      <c r="D6" s="29">
        <v>35</v>
      </c>
      <c r="E6" s="29">
        <v>49</v>
      </c>
      <c r="F6" s="29">
        <v>62</v>
      </c>
      <c r="G6" s="29"/>
      <c r="H6" s="29">
        <v>1</v>
      </c>
      <c r="I6" s="29">
        <v>18</v>
      </c>
      <c r="J6" s="29">
        <v>35</v>
      </c>
      <c r="K6" s="29">
        <v>49</v>
      </c>
      <c r="L6" s="29">
        <v>62</v>
      </c>
      <c r="M6" s="4"/>
      <c r="O6" s="4"/>
    </row>
    <row r="7" spans="1:15" ht="28.5" customHeight="1"/>
    <row r="8" spans="1:15" ht="28.5" customHeight="1">
      <c r="A8" s="1"/>
      <c r="B8" s="27" t="s">
        <v>0</v>
      </c>
      <c r="C8" s="27" t="s">
        <v>1</v>
      </c>
      <c r="D8" s="27" t="s">
        <v>2</v>
      </c>
      <c r="E8" s="27" t="s">
        <v>3</v>
      </c>
      <c r="F8" s="27" t="s">
        <v>4</v>
      </c>
      <c r="G8" s="28"/>
      <c r="H8" s="27" t="s">
        <v>0</v>
      </c>
      <c r="I8" s="27" t="s">
        <v>1</v>
      </c>
      <c r="J8" s="27" t="s">
        <v>2</v>
      </c>
      <c r="K8" s="27" t="s">
        <v>3</v>
      </c>
      <c r="L8" s="27" t="s">
        <v>4</v>
      </c>
      <c r="M8" s="1"/>
      <c r="O8" s="1"/>
    </row>
    <row r="9" spans="1:15" ht="28.5" customHeight="1">
      <c r="A9" s="1"/>
      <c r="B9" s="29">
        <v>4</v>
      </c>
      <c r="C9" s="29">
        <v>30</v>
      </c>
      <c r="D9" s="29">
        <v>43</v>
      </c>
      <c r="E9" s="29">
        <v>49</v>
      </c>
      <c r="F9" s="29">
        <v>72</v>
      </c>
      <c r="G9" s="29"/>
      <c r="H9" s="29">
        <v>4</v>
      </c>
      <c r="I9" s="29">
        <v>30</v>
      </c>
      <c r="J9" s="29">
        <v>43</v>
      </c>
      <c r="K9" s="29">
        <v>49</v>
      </c>
      <c r="L9" s="29">
        <v>72</v>
      </c>
      <c r="M9" s="1"/>
      <c r="O9" s="1"/>
    </row>
    <row r="10" spans="1:15" ht="28.5" customHeight="1">
      <c r="A10" s="1"/>
      <c r="B10" s="29">
        <v>13</v>
      </c>
      <c r="C10" s="29">
        <v>24</v>
      </c>
      <c r="D10" s="29">
        <v>35</v>
      </c>
      <c r="E10" s="29">
        <v>59</v>
      </c>
      <c r="F10" s="29">
        <v>73</v>
      </c>
      <c r="G10" s="29"/>
      <c r="H10" s="29">
        <v>13</v>
      </c>
      <c r="I10" s="29">
        <v>24</v>
      </c>
      <c r="J10" s="29">
        <v>35</v>
      </c>
      <c r="K10" s="29">
        <v>59</v>
      </c>
      <c r="L10" s="29">
        <v>73</v>
      </c>
      <c r="M10" s="1"/>
      <c r="O10" s="1"/>
    </row>
    <row r="11" spans="1:15" ht="28.5" customHeight="1">
      <c r="A11" s="1"/>
      <c r="B11" s="29">
        <v>9</v>
      </c>
      <c r="C11" s="29">
        <v>17</v>
      </c>
      <c r="D11" s="29" t="s">
        <v>44</v>
      </c>
      <c r="E11" s="29">
        <v>57</v>
      </c>
      <c r="F11" s="29">
        <v>64</v>
      </c>
      <c r="G11" s="29"/>
      <c r="H11" s="29">
        <v>9</v>
      </c>
      <c r="I11" s="29">
        <v>17</v>
      </c>
      <c r="J11" s="29" t="s">
        <v>44</v>
      </c>
      <c r="K11" s="29">
        <v>57</v>
      </c>
      <c r="L11" s="29">
        <v>64</v>
      </c>
      <c r="M11" s="1"/>
      <c r="O11" s="1"/>
    </row>
    <row r="12" spans="1:15" ht="28.5" customHeight="1">
      <c r="A12" s="1"/>
      <c r="B12" s="29">
        <v>15</v>
      </c>
      <c r="C12" s="29">
        <v>18</v>
      </c>
      <c r="D12" s="29">
        <v>45</v>
      </c>
      <c r="E12" s="29">
        <v>50</v>
      </c>
      <c r="F12" s="29">
        <v>74</v>
      </c>
      <c r="G12" s="29"/>
      <c r="H12" s="29">
        <v>15</v>
      </c>
      <c r="I12" s="29">
        <v>18</v>
      </c>
      <c r="J12" s="29">
        <v>45</v>
      </c>
      <c r="K12" s="29">
        <v>50</v>
      </c>
      <c r="L12" s="29">
        <v>74</v>
      </c>
      <c r="M12" s="1"/>
      <c r="O12" s="1"/>
    </row>
    <row r="13" spans="1:15" ht="28.5" customHeight="1">
      <c r="A13" s="1"/>
      <c r="B13" s="29">
        <v>8</v>
      </c>
      <c r="C13" s="29">
        <v>25</v>
      </c>
      <c r="D13" s="29">
        <v>42</v>
      </c>
      <c r="E13" s="29">
        <v>46</v>
      </c>
      <c r="F13" s="29">
        <v>66</v>
      </c>
      <c r="G13" s="29"/>
      <c r="H13" s="29">
        <v>8</v>
      </c>
      <c r="I13" s="29">
        <v>25</v>
      </c>
      <c r="J13" s="29">
        <v>42</v>
      </c>
      <c r="K13" s="29">
        <v>46</v>
      </c>
      <c r="L13" s="29">
        <v>66</v>
      </c>
      <c r="M13" s="1"/>
      <c r="O13" s="1"/>
    </row>
    <row r="14" spans="1:15" ht="28.5" customHeight="1"/>
    <row r="15" spans="1:15" ht="28.5" customHeight="1">
      <c r="A15" s="1"/>
      <c r="B15" s="27"/>
      <c r="C15" s="27"/>
      <c r="D15" s="27"/>
      <c r="E15" s="27"/>
      <c r="F15" s="27"/>
      <c r="G15" s="28"/>
      <c r="H15" s="27"/>
      <c r="I15" s="27"/>
      <c r="J15" s="27"/>
      <c r="K15" s="27"/>
      <c r="L15" s="27"/>
      <c r="M15" s="1"/>
      <c r="O15" s="1"/>
    </row>
    <row r="16" spans="1:15" ht="28.5" customHeight="1">
      <c r="A16" s="1"/>
      <c r="B16" s="29"/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1"/>
      <c r="O16" s="1"/>
    </row>
    <row r="17" spans="1:15" ht="28.5" customHeight="1">
      <c r="A17" s="1"/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1"/>
      <c r="O17" s="1"/>
    </row>
    <row r="18" spans="1:15" ht="28.5" customHeight="1">
      <c r="A18" s="1"/>
      <c r="B18" s="29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1"/>
      <c r="O18" s="1"/>
    </row>
    <row r="19" spans="1:15" ht="28.5" customHeight="1">
      <c r="A19" s="1"/>
      <c r="B19" s="29"/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1"/>
      <c r="O19" s="1"/>
    </row>
    <row r="20" spans="1:15" ht="28.5" customHeight="1">
      <c r="A20" s="1"/>
      <c r="B20" s="29"/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1"/>
      <c r="O20" s="1"/>
    </row>
    <row r="21" spans="1:15" ht="28.5" customHeight="1"/>
  </sheetData>
  <phoneticPr fontId="20" type="noConversion"/>
  <pageMargins left="0.7" right="0.7" top="0.75" bottom="0.75" header="0.3" footer="0.3"/>
  <pageSetup paperSize="9" scale="90" orientation="portrait" r:id="rId1"/>
  <rowBreaks count="1" manualBreakCount="1">
    <brk id="21" max="13" man="1"/>
  </row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4C515751-0E2D-4BCE-9235-BA5EACDC7247}">
            <xm:f>HLOOKUP(B2,Cards!$O$2:$DQ$2,1,FALSE)</xm:f>
            <x14:dxf>
              <font>
                <b val="0"/>
                <i/>
                <strike val="0"/>
                <color theme="5"/>
              </font>
            </x14:dxf>
          </x14:cfRule>
          <xm:sqref>B2:L20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O21"/>
  <sheetViews>
    <sheetView zoomScaleNormal="100" zoomScaleSheetLayoutView="70" workbookViewId="0">
      <selection activeCell="L15" sqref="B15:L20"/>
    </sheetView>
  </sheetViews>
  <sheetFormatPr defaultRowHeight="33.75"/>
  <cols>
    <col min="1" max="1" width="4.140625" customWidth="1"/>
    <col min="2" max="6" width="8.7109375" style="5" customWidth="1"/>
    <col min="7" max="7" width="3.140625" customWidth="1"/>
    <col min="8" max="12" width="8.7109375" style="5" customWidth="1"/>
    <col min="13" max="13" width="4.140625" customWidth="1"/>
  </cols>
  <sheetData>
    <row r="1" spans="1:15" ht="28.5" customHeight="1">
      <c r="A1" s="3"/>
      <c r="B1" s="27" t="s">
        <v>0</v>
      </c>
      <c r="C1" s="27" t="s">
        <v>1</v>
      </c>
      <c r="D1" s="27" t="s">
        <v>2</v>
      </c>
      <c r="E1" s="27" t="s">
        <v>3</v>
      </c>
      <c r="F1" s="27" t="s">
        <v>4</v>
      </c>
      <c r="G1" s="28"/>
      <c r="H1" s="27" t="s">
        <v>0</v>
      </c>
      <c r="I1" s="27" t="s">
        <v>1</v>
      </c>
      <c r="J1" s="27" t="s">
        <v>2</v>
      </c>
      <c r="K1" s="27" t="s">
        <v>3</v>
      </c>
      <c r="L1" s="27" t="s">
        <v>4</v>
      </c>
      <c r="M1" s="3"/>
      <c r="N1" s="5" t="str">
        <f ca="1">MID(CELL("filename",A1),FIND("]",CELL("filename",A1))+1,255)</f>
        <v>1 (10)</v>
      </c>
      <c r="O1" s="3"/>
    </row>
    <row r="2" spans="1:15" ht="28.5" customHeight="1">
      <c r="A2" s="4"/>
      <c r="B2" s="29">
        <v>4</v>
      </c>
      <c r="C2" s="29">
        <v>23</v>
      </c>
      <c r="D2" s="29">
        <v>37</v>
      </c>
      <c r="E2" s="29">
        <v>50</v>
      </c>
      <c r="F2" s="29">
        <v>68</v>
      </c>
      <c r="G2" s="29"/>
      <c r="H2" s="29">
        <v>4</v>
      </c>
      <c r="I2" s="29">
        <v>23</v>
      </c>
      <c r="J2" s="29">
        <v>37</v>
      </c>
      <c r="K2" s="29">
        <v>50</v>
      </c>
      <c r="L2" s="29">
        <v>68</v>
      </c>
      <c r="M2" s="4"/>
      <c r="O2" s="4"/>
    </row>
    <row r="3" spans="1:15" ht="28.5" customHeight="1">
      <c r="A3" s="4"/>
      <c r="B3" s="29">
        <v>10</v>
      </c>
      <c r="C3" s="29">
        <v>22</v>
      </c>
      <c r="D3" s="29">
        <v>35</v>
      </c>
      <c r="E3" s="29">
        <v>58</v>
      </c>
      <c r="F3" s="29">
        <v>72</v>
      </c>
      <c r="G3" s="29"/>
      <c r="H3" s="29">
        <v>10</v>
      </c>
      <c r="I3" s="29">
        <v>22</v>
      </c>
      <c r="J3" s="29">
        <v>35</v>
      </c>
      <c r="K3" s="29">
        <v>58</v>
      </c>
      <c r="L3" s="29">
        <v>72</v>
      </c>
      <c r="M3" s="4"/>
      <c r="O3" s="4"/>
    </row>
    <row r="4" spans="1:15" ht="28.5" customHeight="1">
      <c r="A4" s="4"/>
      <c r="B4" s="29">
        <v>5</v>
      </c>
      <c r="C4" s="29">
        <v>27</v>
      </c>
      <c r="D4" s="29" t="s">
        <v>44</v>
      </c>
      <c r="E4" s="29">
        <v>59</v>
      </c>
      <c r="F4" s="29">
        <v>62</v>
      </c>
      <c r="G4" s="29"/>
      <c r="H4" s="29">
        <v>5</v>
      </c>
      <c r="I4" s="29">
        <v>27</v>
      </c>
      <c r="J4" s="29" t="s">
        <v>44</v>
      </c>
      <c r="K4" s="29">
        <v>59</v>
      </c>
      <c r="L4" s="29">
        <v>62</v>
      </c>
      <c r="M4" s="4"/>
      <c r="O4" s="4"/>
    </row>
    <row r="5" spans="1:15" ht="28.5" customHeight="1">
      <c r="A5" s="4"/>
      <c r="B5" s="29">
        <v>12</v>
      </c>
      <c r="C5" s="29">
        <v>20</v>
      </c>
      <c r="D5" s="29">
        <v>34</v>
      </c>
      <c r="E5" s="29">
        <v>57</v>
      </c>
      <c r="F5" s="29">
        <v>63</v>
      </c>
      <c r="G5" s="29"/>
      <c r="H5" s="29">
        <v>12</v>
      </c>
      <c r="I5" s="29">
        <v>20</v>
      </c>
      <c r="J5" s="29">
        <v>34</v>
      </c>
      <c r="K5" s="29">
        <v>57</v>
      </c>
      <c r="L5" s="29">
        <v>63</v>
      </c>
      <c r="M5" s="4"/>
      <c r="O5" s="4"/>
    </row>
    <row r="6" spans="1:15" ht="28.5" customHeight="1">
      <c r="A6" s="4"/>
      <c r="B6" s="29">
        <v>8</v>
      </c>
      <c r="C6" s="29">
        <v>30</v>
      </c>
      <c r="D6" s="29">
        <v>32</v>
      </c>
      <c r="E6" s="29">
        <v>53</v>
      </c>
      <c r="F6" s="29">
        <v>71</v>
      </c>
      <c r="G6" s="29"/>
      <c r="H6" s="29">
        <v>8</v>
      </c>
      <c r="I6" s="29">
        <v>30</v>
      </c>
      <c r="J6" s="29">
        <v>32</v>
      </c>
      <c r="K6" s="29">
        <v>53</v>
      </c>
      <c r="L6" s="29">
        <v>71</v>
      </c>
      <c r="M6" s="4"/>
      <c r="O6" s="4"/>
    </row>
    <row r="7" spans="1:15" ht="28.5" customHeight="1"/>
    <row r="8" spans="1:15" ht="28.5" customHeight="1">
      <c r="A8" s="1"/>
      <c r="B8" s="27" t="s">
        <v>0</v>
      </c>
      <c r="C8" s="27" t="s">
        <v>1</v>
      </c>
      <c r="D8" s="27" t="s">
        <v>2</v>
      </c>
      <c r="E8" s="27" t="s">
        <v>3</v>
      </c>
      <c r="F8" s="27" t="s">
        <v>4</v>
      </c>
      <c r="G8" s="28"/>
      <c r="H8" s="27" t="s">
        <v>0</v>
      </c>
      <c r="I8" s="27" t="s">
        <v>1</v>
      </c>
      <c r="J8" s="27" t="s">
        <v>2</v>
      </c>
      <c r="K8" s="27" t="s">
        <v>3</v>
      </c>
      <c r="L8" s="27" t="s">
        <v>4</v>
      </c>
      <c r="M8" s="1"/>
      <c r="O8" s="1"/>
    </row>
    <row r="9" spans="1:15" ht="28.5" customHeight="1">
      <c r="A9" s="1"/>
      <c r="B9" s="29">
        <v>4</v>
      </c>
      <c r="C9" s="29">
        <v>23</v>
      </c>
      <c r="D9" s="29">
        <v>32</v>
      </c>
      <c r="E9" s="29">
        <v>46</v>
      </c>
      <c r="F9" s="29">
        <v>61</v>
      </c>
      <c r="G9" s="29"/>
      <c r="H9" s="29">
        <v>4</v>
      </c>
      <c r="I9" s="29">
        <v>23</v>
      </c>
      <c r="J9" s="29">
        <v>32</v>
      </c>
      <c r="K9" s="29">
        <v>46</v>
      </c>
      <c r="L9" s="29">
        <v>61</v>
      </c>
      <c r="M9" s="1"/>
      <c r="O9" s="1"/>
    </row>
    <row r="10" spans="1:15" ht="28.5" customHeight="1">
      <c r="A10" s="1"/>
      <c r="B10" s="29">
        <v>6</v>
      </c>
      <c r="C10" s="29">
        <v>20</v>
      </c>
      <c r="D10" s="29">
        <v>41</v>
      </c>
      <c r="E10" s="29">
        <v>57</v>
      </c>
      <c r="F10" s="29">
        <v>65</v>
      </c>
      <c r="G10" s="29"/>
      <c r="H10" s="29">
        <v>6</v>
      </c>
      <c r="I10" s="29">
        <v>20</v>
      </c>
      <c r="J10" s="29">
        <v>41</v>
      </c>
      <c r="K10" s="29">
        <v>57</v>
      </c>
      <c r="L10" s="29">
        <v>65</v>
      </c>
      <c r="M10" s="1"/>
      <c r="O10" s="1"/>
    </row>
    <row r="11" spans="1:15" ht="28.5" customHeight="1">
      <c r="A11" s="1"/>
      <c r="B11" s="29">
        <v>1</v>
      </c>
      <c r="C11" s="29">
        <v>21</v>
      </c>
      <c r="D11" s="29" t="s">
        <v>44</v>
      </c>
      <c r="E11" s="29">
        <v>58</v>
      </c>
      <c r="F11" s="29">
        <v>64</v>
      </c>
      <c r="G11" s="29"/>
      <c r="H11" s="29">
        <v>1</v>
      </c>
      <c r="I11" s="29">
        <v>21</v>
      </c>
      <c r="J11" s="29" t="s">
        <v>44</v>
      </c>
      <c r="K11" s="29">
        <v>58</v>
      </c>
      <c r="L11" s="29">
        <v>64</v>
      </c>
      <c r="M11" s="1"/>
      <c r="O11" s="1"/>
    </row>
    <row r="12" spans="1:15" ht="28.5" customHeight="1">
      <c r="A12" s="1"/>
      <c r="B12" s="29">
        <v>10</v>
      </c>
      <c r="C12" s="29">
        <v>17</v>
      </c>
      <c r="D12" s="29">
        <v>39</v>
      </c>
      <c r="E12" s="29">
        <v>54</v>
      </c>
      <c r="F12" s="29">
        <v>62</v>
      </c>
      <c r="G12" s="29"/>
      <c r="H12" s="29">
        <v>10</v>
      </c>
      <c r="I12" s="29">
        <v>17</v>
      </c>
      <c r="J12" s="29">
        <v>39</v>
      </c>
      <c r="K12" s="29">
        <v>54</v>
      </c>
      <c r="L12" s="29">
        <v>62</v>
      </c>
      <c r="M12" s="1"/>
      <c r="O12" s="1"/>
    </row>
    <row r="13" spans="1:15" ht="28.5" customHeight="1">
      <c r="A13" s="1"/>
      <c r="B13" s="29">
        <v>9</v>
      </c>
      <c r="C13" s="29">
        <v>27</v>
      </c>
      <c r="D13" s="29">
        <v>37</v>
      </c>
      <c r="E13" s="29">
        <v>53</v>
      </c>
      <c r="F13" s="29">
        <v>70</v>
      </c>
      <c r="G13" s="29"/>
      <c r="H13" s="29">
        <v>9</v>
      </c>
      <c r="I13" s="29">
        <v>27</v>
      </c>
      <c r="J13" s="29">
        <v>37</v>
      </c>
      <c r="K13" s="29">
        <v>53</v>
      </c>
      <c r="L13" s="29">
        <v>70</v>
      </c>
      <c r="M13" s="1"/>
      <c r="O13" s="1"/>
    </row>
    <row r="14" spans="1:15" ht="28.5" customHeight="1"/>
    <row r="15" spans="1:15" ht="28.5" customHeight="1">
      <c r="A15" s="1"/>
      <c r="B15" s="27"/>
      <c r="C15" s="27"/>
      <c r="D15" s="27"/>
      <c r="E15" s="27"/>
      <c r="F15" s="27"/>
      <c r="G15" s="28"/>
      <c r="H15" s="27"/>
      <c r="I15" s="27"/>
      <c r="J15" s="27"/>
      <c r="K15" s="27"/>
      <c r="L15" s="27"/>
      <c r="M15" s="1"/>
      <c r="O15" s="1"/>
    </row>
    <row r="16" spans="1:15" ht="28.5" customHeight="1">
      <c r="A16" s="1"/>
      <c r="B16" s="29"/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1"/>
      <c r="O16" s="1"/>
    </row>
    <row r="17" spans="1:15" ht="28.5" customHeight="1">
      <c r="A17" s="1"/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1"/>
      <c r="O17" s="1"/>
    </row>
    <row r="18" spans="1:15" ht="28.5" customHeight="1">
      <c r="A18" s="1"/>
      <c r="B18" s="29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1"/>
      <c r="O18" s="1"/>
    </row>
    <row r="19" spans="1:15" ht="28.5" customHeight="1">
      <c r="A19" s="1"/>
      <c r="B19" s="29"/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1"/>
      <c r="O19" s="1"/>
    </row>
    <row r="20" spans="1:15" ht="28.5" customHeight="1">
      <c r="A20" s="1"/>
      <c r="B20" s="29"/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1"/>
      <c r="O20" s="1"/>
    </row>
    <row r="21" spans="1:15" ht="28.5" customHeight="1"/>
  </sheetData>
  <phoneticPr fontId="20" type="noConversion"/>
  <pageMargins left="0.7" right="0.7" top="0.75" bottom="0.75" header="0.3" footer="0.3"/>
  <pageSetup paperSize="9" scale="90" orientation="portrait" r:id="rId1"/>
  <rowBreaks count="1" manualBreakCount="1">
    <brk id="21" max="13" man="1"/>
  </row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CC221809-CBAD-4E33-AAF3-ADD9333E1CA6}">
            <xm:f>HLOOKUP(B2,Cards!$O$2:$DQ$2,1,FALSE)</xm:f>
            <x14:dxf>
              <font>
                <b val="0"/>
                <i/>
                <strike val="0"/>
                <color theme="5"/>
              </font>
            </x14:dxf>
          </x14:cfRule>
          <xm:sqref>B2:L20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O21"/>
  <sheetViews>
    <sheetView zoomScaleNormal="100" zoomScaleSheetLayoutView="70" workbookViewId="0">
      <selection activeCell="N1" sqref="N1"/>
    </sheetView>
  </sheetViews>
  <sheetFormatPr defaultRowHeight="33.75"/>
  <cols>
    <col min="1" max="1" width="4.140625" customWidth="1"/>
    <col min="2" max="6" width="8.7109375" style="5" customWidth="1"/>
    <col min="7" max="7" width="3.140625" customWidth="1"/>
    <col min="8" max="12" width="8.7109375" style="5" customWidth="1"/>
    <col min="13" max="13" width="4.140625" customWidth="1"/>
  </cols>
  <sheetData>
    <row r="1" spans="1:15" ht="28.5" customHeight="1">
      <c r="A1" s="3"/>
      <c r="B1" s="27" t="s">
        <v>0</v>
      </c>
      <c r="C1" s="27" t="s">
        <v>1</v>
      </c>
      <c r="D1" s="27" t="s">
        <v>2</v>
      </c>
      <c r="E1" s="27" t="s">
        <v>3</v>
      </c>
      <c r="F1" s="27" t="s">
        <v>4</v>
      </c>
      <c r="G1" s="28"/>
      <c r="H1" s="27" t="s">
        <v>0</v>
      </c>
      <c r="I1" s="27" t="s">
        <v>1</v>
      </c>
      <c r="J1" s="27" t="s">
        <v>2</v>
      </c>
      <c r="K1" s="27" t="s">
        <v>3</v>
      </c>
      <c r="L1" s="27" t="s">
        <v>4</v>
      </c>
      <c r="M1" s="3"/>
      <c r="N1" s="5" t="str">
        <f ca="1">MID(CELL("filename",A1),FIND("]",CELL("filename",A1))+1,255)</f>
        <v>1 (11)</v>
      </c>
      <c r="O1" s="3"/>
    </row>
    <row r="2" spans="1:15" ht="28.5" customHeight="1">
      <c r="A2" s="4"/>
      <c r="B2" s="29">
        <v>7</v>
      </c>
      <c r="C2" s="29">
        <v>21</v>
      </c>
      <c r="D2" s="29">
        <v>41</v>
      </c>
      <c r="E2" s="29">
        <v>46</v>
      </c>
      <c r="F2" s="29">
        <v>67</v>
      </c>
      <c r="G2" s="29"/>
      <c r="H2" s="29">
        <v>7</v>
      </c>
      <c r="I2" s="29">
        <v>21</v>
      </c>
      <c r="J2" s="29">
        <v>41</v>
      </c>
      <c r="K2" s="29">
        <v>46</v>
      </c>
      <c r="L2" s="29">
        <v>67</v>
      </c>
      <c r="M2" s="4"/>
      <c r="O2" s="4"/>
    </row>
    <row r="3" spans="1:15" ht="28.5" customHeight="1">
      <c r="A3" s="4"/>
      <c r="B3" s="29">
        <v>2</v>
      </c>
      <c r="C3" s="29">
        <v>28</v>
      </c>
      <c r="D3" s="29">
        <v>39</v>
      </c>
      <c r="E3" s="29">
        <v>59</v>
      </c>
      <c r="F3" s="29">
        <v>62</v>
      </c>
      <c r="G3" s="29"/>
      <c r="H3" s="29">
        <v>2</v>
      </c>
      <c r="I3" s="29">
        <v>28</v>
      </c>
      <c r="J3" s="29">
        <v>39</v>
      </c>
      <c r="K3" s="29">
        <v>59</v>
      </c>
      <c r="L3" s="29">
        <v>62</v>
      </c>
      <c r="M3" s="4"/>
      <c r="O3" s="4"/>
    </row>
    <row r="4" spans="1:15" ht="28.5" customHeight="1">
      <c r="A4" s="4"/>
      <c r="B4" s="29">
        <v>5</v>
      </c>
      <c r="C4" s="29">
        <v>25</v>
      </c>
      <c r="D4" s="29" t="s">
        <v>44</v>
      </c>
      <c r="E4" s="29">
        <v>47</v>
      </c>
      <c r="F4" s="29">
        <v>74</v>
      </c>
      <c r="G4" s="29"/>
      <c r="H4" s="29">
        <v>5</v>
      </c>
      <c r="I4" s="29">
        <v>25</v>
      </c>
      <c r="J4" s="29" t="s">
        <v>44</v>
      </c>
      <c r="K4" s="29">
        <v>47</v>
      </c>
      <c r="L4" s="29">
        <v>74</v>
      </c>
      <c r="M4" s="4"/>
      <c r="O4" s="4"/>
    </row>
    <row r="5" spans="1:15" ht="28.5" customHeight="1">
      <c r="A5" s="4"/>
      <c r="B5" s="29">
        <v>1</v>
      </c>
      <c r="C5" s="29">
        <v>24</v>
      </c>
      <c r="D5" s="29">
        <v>45</v>
      </c>
      <c r="E5" s="29">
        <v>50</v>
      </c>
      <c r="F5" s="29">
        <v>61</v>
      </c>
      <c r="G5" s="29"/>
      <c r="H5" s="29">
        <v>1</v>
      </c>
      <c r="I5" s="29">
        <v>24</v>
      </c>
      <c r="J5" s="29">
        <v>45</v>
      </c>
      <c r="K5" s="29">
        <v>50</v>
      </c>
      <c r="L5" s="29">
        <v>61</v>
      </c>
      <c r="M5" s="4"/>
      <c r="O5" s="4"/>
    </row>
    <row r="6" spans="1:15" ht="28.5" customHeight="1">
      <c r="A6" s="4"/>
      <c r="B6" s="29">
        <v>11</v>
      </c>
      <c r="C6" s="29">
        <v>20</v>
      </c>
      <c r="D6" s="29">
        <v>42</v>
      </c>
      <c r="E6" s="29">
        <v>60</v>
      </c>
      <c r="F6" s="29">
        <v>72</v>
      </c>
      <c r="G6" s="29"/>
      <c r="H6" s="29">
        <v>11</v>
      </c>
      <c r="I6" s="29">
        <v>20</v>
      </c>
      <c r="J6" s="29">
        <v>42</v>
      </c>
      <c r="K6" s="29">
        <v>60</v>
      </c>
      <c r="L6" s="29">
        <v>72</v>
      </c>
      <c r="M6" s="4"/>
      <c r="O6" s="4"/>
    </row>
    <row r="7" spans="1:15" ht="28.5" customHeight="1"/>
    <row r="8" spans="1:15" ht="28.5" customHeight="1">
      <c r="A8" s="1"/>
      <c r="B8" s="27" t="s">
        <v>0</v>
      </c>
      <c r="C8" s="27" t="s">
        <v>1</v>
      </c>
      <c r="D8" s="27" t="s">
        <v>2</v>
      </c>
      <c r="E8" s="27" t="s">
        <v>3</v>
      </c>
      <c r="F8" s="27" t="s">
        <v>4</v>
      </c>
      <c r="G8" s="28"/>
      <c r="H8" s="27" t="s">
        <v>0</v>
      </c>
      <c r="I8" s="27" t="s">
        <v>1</v>
      </c>
      <c r="J8" s="27" t="s">
        <v>2</v>
      </c>
      <c r="K8" s="27" t="s">
        <v>3</v>
      </c>
      <c r="L8" s="27" t="s">
        <v>4</v>
      </c>
      <c r="M8" s="1"/>
      <c r="O8" s="1"/>
    </row>
    <row r="9" spans="1:15" ht="28.5" customHeight="1">
      <c r="A9" s="1"/>
      <c r="B9" s="29">
        <v>5</v>
      </c>
      <c r="C9" s="29">
        <v>23</v>
      </c>
      <c r="D9" s="29">
        <v>41</v>
      </c>
      <c r="E9" s="29">
        <v>46</v>
      </c>
      <c r="F9" s="29">
        <v>62</v>
      </c>
      <c r="G9" s="29"/>
      <c r="H9" s="29">
        <v>5</v>
      </c>
      <c r="I9" s="29">
        <v>23</v>
      </c>
      <c r="J9" s="29">
        <v>41</v>
      </c>
      <c r="K9" s="29">
        <v>46</v>
      </c>
      <c r="L9" s="29">
        <v>62</v>
      </c>
      <c r="M9" s="1"/>
      <c r="O9" s="1"/>
    </row>
    <row r="10" spans="1:15" ht="28.5" customHeight="1">
      <c r="A10" s="1"/>
      <c r="B10" s="29">
        <v>9</v>
      </c>
      <c r="C10" s="29">
        <v>26</v>
      </c>
      <c r="D10" s="29">
        <v>40</v>
      </c>
      <c r="E10" s="29">
        <v>51</v>
      </c>
      <c r="F10" s="29">
        <v>65</v>
      </c>
      <c r="G10" s="29"/>
      <c r="H10" s="29">
        <v>9</v>
      </c>
      <c r="I10" s="29">
        <v>26</v>
      </c>
      <c r="J10" s="29">
        <v>40</v>
      </c>
      <c r="K10" s="29">
        <v>51</v>
      </c>
      <c r="L10" s="29">
        <v>65</v>
      </c>
      <c r="M10" s="1"/>
      <c r="O10" s="1"/>
    </row>
    <row r="11" spans="1:15" ht="28.5" customHeight="1">
      <c r="A11" s="1"/>
      <c r="B11" s="29">
        <v>3</v>
      </c>
      <c r="C11" s="29">
        <v>22</v>
      </c>
      <c r="D11" s="29" t="s">
        <v>44</v>
      </c>
      <c r="E11" s="29">
        <v>49</v>
      </c>
      <c r="F11" s="29">
        <v>68</v>
      </c>
      <c r="G11" s="29"/>
      <c r="H11" s="29">
        <v>3</v>
      </c>
      <c r="I11" s="29">
        <v>22</v>
      </c>
      <c r="J11" s="29" t="s">
        <v>44</v>
      </c>
      <c r="K11" s="29">
        <v>49</v>
      </c>
      <c r="L11" s="29">
        <v>68</v>
      </c>
      <c r="M11" s="1"/>
      <c r="O11" s="1"/>
    </row>
    <row r="12" spans="1:15" ht="28.5" customHeight="1">
      <c r="A12" s="1"/>
      <c r="B12" s="29">
        <v>13</v>
      </c>
      <c r="C12" s="29">
        <v>24</v>
      </c>
      <c r="D12" s="29">
        <v>42</v>
      </c>
      <c r="E12" s="29">
        <v>48</v>
      </c>
      <c r="F12" s="29">
        <v>67</v>
      </c>
      <c r="G12" s="29"/>
      <c r="H12" s="29">
        <v>13</v>
      </c>
      <c r="I12" s="29">
        <v>24</v>
      </c>
      <c r="J12" s="29">
        <v>42</v>
      </c>
      <c r="K12" s="29">
        <v>48</v>
      </c>
      <c r="L12" s="29">
        <v>67</v>
      </c>
      <c r="M12" s="1"/>
      <c r="O12" s="1"/>
    </row>
    <row r="13" spans="1:15" ht="28.5" customHeight="1">
      <c r="A13" s="1"/>
      <c r="B13" s="29">
        <v>1</v>
      </c>
      <c r="C13" s="29">
        <v>28</v>
      </c>
      <c r="D13" s="29">
        <v>38</v>
      </c>
      <c r="E13" s="29">
        <v>53</v>
      </c>
      <c r="F13" s="29">
        <v>61</v>
      </c>
      <c r="G13" s="29"/>
      <c r="H13" s="29">
        <v>1</v>
      </c>
      <c r="I13" s="29">
        <v>28</v>
      </c>
      <c r="J13" s="29">
        <v>38</v>
      </c>
      <c r="K13" s="29">
        <v>53</v>
      </c>
      <c r="L13" s="29">
        <v>61</v>
      </c>
      <c r="M13" s="1"/>
      <c r="O13" s="1"/>
    </row>
    <row r="14" spans="1:15" ht="28.5" customHeight="1"/>
    <row r="15" spans="1:15" ht="28.5" customHeight="1">
      <c r="A15" s="1"/>
      <c r="B15" s="27"/>
      <c r="C15" s="27"/>
      <c r="D15" s="27"/>
      <c r="E15" s="27"/>
      <c r="F15" s="27"/>
      <c r="G15" s="28"/>
      <c r="H15" s="27"/>
      <c r="I15" s="27"/>
      <c r="J15" s="27"/>
      <c r="K15" s="27"/>
      <c r="L15" s="27"/>
      <c r="M15" s="1"/>
      <c r="O15" s="1"/>
    </row>
    <row r="16" spans="1:15" ht="28.5" customHeight="1">
      <c r="A16" s="1"/>
      <c r="B16" s="29"/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1"/>
      <c r="O16" s="1"/>
    </row>
    <row r="17" spans="1:15" ht="28.5" customHeight="1">
      <c r="A17" s="1"/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1"/>
      <c r="O17" s="1"/>
    </row>
    <row r="18" spans="1:15" ht="28.5" customHeight="1">
      <c r="A18" s="1"/>
      <c r="B18" s="29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1"/>
      <c r="O18" s="1"/>
    </row>
    <row r="19" spans="1:15" ht="28.5" customHeight="1">
      <c r="A19" s="1"/>
      <c r="B19" s="29"/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1"/>
      <c r="O19" s="1"/>
    </row>
    <row r="20" spans="1:15" ht="28.5" customHeight="1">
      <c r="A20" s="1"/>
      <c r="B20" s="29"/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1"/>
      <c r="O20" s="1"/>
    </row>
    <row r="21" spans="1:15" ht="28.5" customHeight="1"/>
  </sheetData>
  <phoneticPr fontId="20" type="noConversion"/>
  <pageMargins left="0.7" right="0.7" top="0.75" bottom="0.75" header="0.3" footer="0.3"/>
  <pageSetup paperSize="9" scale="90" orientation="portrait" r:id="rId1"/>
  <rowBreaks count="1" manualBreakCount="1">
    <brk id="21" max="13" man="1"/>
  </row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B1ED8CAC-49F0-4FE8-9FDB-726457610DB3}">
            <xm:f>HLOOKUP(B2,Cards!$O$2:$DQ$2,1,FALSE)</xm:f>
            <x14:dxf>
              <font>
                <b val="0"/>
                <i/>
                <strike val="0"/>
                <color theme="5"/>
              </font>
            </x14:dxf>
          </x14:cfRule>
          <xm:sqref>B2:L20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O21"/>
  <sheetViews>
    <sheetView zoomScaleNormal="100" zoomScaleSheetLayoutView="70" workbookViewId="0">
      <selection activeCell="L15" sqref="B15:L20"/>
    </sheetView>
  </sheetViews>
  <sheetFormatPr defaultRowHeight="33.75"/>
  <cols>
    <col min="1" max="1" width="4.140625" customWidth="1"/>
    <col min="2" max="6" width="8.7109375" style="5" customWidth="1"/>
    <col min="7" max="7" width="3.140625" customWidth="1"/>
    <col min="8" max="12" width="8.7109375" style="5" customWidth="1"/>
    <col min="13" max="13" width="4.140625" customWidth="1"/>
    <col min="14" max="14" width="11.85546875" customWidth="1"/>
  </cols>
  <sheetData>
    <row r="1" spans="1:15" ht="28.5" customHeight="1">
      <c r="A1" s="3"/>
      <c r="B1" s="27" t="s">
        <v>0</v>
      </c>
      <c r="C1" s="27" t="s">
        <v>1</v>
      </c>
      <c r="D1" s="27" t="s">
        <v>2</v>
      </c>
      <c r="E1" s="27" t="s">
        <v>3</v>
      </c>
      <c r="F1" s="27" t="s">
        <v>4</v>
      </c>
      <c r="G1" s="28"/>
      <c r="H1" s="27" t="s">
        <v>0</v>
      </c>
      <c r="I1" s="27" t="s">
        <v>1</v>
      </c>
      <c r="J1" s="27" t="s">
        <v>2</v>
      </c>
      <c r="K1" s="27" t="s">
        <v>3</v>
      </c>
      <c r="L1" s="27" t="s">
        <v>4</v>
      </c>
      <c r="M1" s="3"/>
      <c r="N1" s="5" t="str">
        <f ca="1">MID(CELL("filename",A1),FIND("]",CELL("filename",A1))+1,255)</f>
        <v>1 (12)</v>
      </c>
      <c r="O1" s="3"/>
    </row>
    <row r="2" spans="1:15" ht="28.5" customHeight="1">
      <c r="A2" s="4"/>
      <c r="B2" s="29">
        <v>12</v>
      </c>
      <c r="C2" s="29">
        <v>29</v>
      </c>
      <c r="D2" s="29">
        <v>39</v>
      </c>
      <c r="E2" s="29">
        <v>48</v>
      </c>
      <c r="F2" s="29">
        <v>70</v>
      </c>
      <c r="G2" s="29"/>
      <c r="H2" s="29">
        <v>12</v>
      </c>
      <c r="I2" s="29">
        <v>29</v>
      </c>
      <c r="J2" s="29">
        <v>39</v>
      </c>
      <c r="K2" s="29">
        <v>48</v>
      </c>
      <c r="L2" s="29">
        <v>70</v>
      </c>
      <c r="M2" s="4"/>
      <c r="O2" s="4"/>
    </row>
    <row r="3" spans="1:15" ht="28.5" customHeight="1">
      <c r="A3" s="4"/>
      <c r="B3" s="29">
        <v>8</v>
      </c>
      <c r="C3" s="29">
        <v>26</v>
      </c>
      <c r="D3" s="29">
        <v>37</v>
      </c>
      <c r="E3" s="29">
        <v>57</v>
      </c>
      <c r="F3" s="29">
        <v>67</v>
      </c>
      <c r="G3" s="29"/>
      <c r="H3" s="29">
        <v>8</v>
      </c>
      <c r="I3" s="29">
        <v>26</v>
      </c>
      <c r="J3" s="29">
        <v>37</v>
      </c>
      <c r="K3" s="29">
        <v>57</v>
      </c>
      <c r="L3" s="29">
        <v>67</v>
      </c>
      <c r="M3" s="4"/>
      <c r="O3" s="4"/>
    </row>
    <row r="4" spans="1:15" ht="28.5" customHeight="1">
      <c r="A4" s="4"/>
      <c r="B4" s="29">
        <v>15</v>
      </c>
      <c r="C4" s="29">
        <v>25</v>
      </c>
      <c r="D4" s="29" t="s">
        <v>44</v>
      </c>
      <c r="E4" s="29">
        <v>54</v>
      </c>
      <c r="F4" s="29">
        <v>74</v>
      </c>
      <c r="G4" s="29"/>
      <c r="H4" s="29">
        <v>15</v>
      </c>
      <c r="I4" s="29">
        <v>25</v>
      </c>
      <c r="J4" s="29" t="s">
        <v>44</v>
      </c>
      <c r="K4" s="29">
        <v>54</v>
      </c>
      <c r="L4" s="29">
        <v>74</v>
      </c>
      <c r="M4" s="4"/>
      <c r="O4" s="4"/>
    </row>
    <row r="5" spans="1:15" ht="28.5" customHeight="1">
      <c r="A5" s="4"/>
      <c r="B5" s="29">
        <v>14</v>
      </c>
      <c r="C5" s="29">
        <v>28</v>
      </c>
      <c r="D5" s="29">
        <v>31</v>
      </c>
      <c r="E5" s="29">
        <v>51</v>
      </c>
      <c r="F5" s="29">
        <v>69</v>
      </c>
      <c r="G5" s="29"/>
      <c r="H5" s="29">
        <v>14</v>
      </c>
      <c r="I5" s="29">
        <v>28</v>
      </c>
      <c r="J5" s="29">
        <v>31</v>
      </c>
      <c r="K5" s="29">
        <v>51</v>
      </c>
      <c r="L5" s="29">
        <v>69</v>
      </c>
      <c r="M5" s="4"/>
      <c r="O5" s="4"/>
    </row>
    <row r="6" spans="1:15" ht="28.5" customHeight="1">
      <c r="A6" s="4"/>
      <c r="B6" s="29">
        <v>3</v>
      </c>
      <c r="C6" s="29">
        <v>24</v>
      </c>
      <c r="D6" s="29">
        <v>33</v>
      </c>
      <c r="E6" s="29">
        <v>53</v>
      </c>
      <c r="F6" s="29">
        <v>65</v>
      </c>
      <c r="G6" s="29"/>
      <c r="H6" s="29">
        <v>3</v>
      </c>
      <c r="I6" s="29">
        <v>24</v>
      </c>
      <c r="J6" s="29">
        <v>33</v>
      </c>
      <c r="K6" s="29">
        <v>53</v>
      </c>
      <c r="L6" s="29">
        <v>65</v>
      </c>
      <c r="M6" s="4"/>
      <c r="O6" s="4"/>
    </row>
    <row r="7" spans="1:15" ht="28.5" customHeight="1"/>
    <row r="8" spans="1:15" ht="28.5" customHeight="1">
      <c r="A8" s="1"/>
      <c r="B8" s="27" t="s">
        <v>0</v>
      </c>
      <c r="C8" s="27" t="s">
        <v>1</v>
      </c>
      <c r="D8" s="27" t="s">
        <v>2</v>
      </c>
      <c r="E8" s="27" t="s">
        <v>3</v>
      </c>
      <c r="F8" s="27" t="s">
        <v>4</v>
      </c>
      <c r="G8" s="28"/>
      <c r="H8" s="27" t="s">
        <v>0</v>
      </c>
      <c r="I8" s="27" t="s">
        <v>1</v>
      </c>
      <c r="J8" s="27" t="s">
        <v>2</v>
      </c>
      <c r="K8" s="27" t="s">
        <v>3</v>
      </c>
      <c r="L8" s="27" t="s">
        <v>4</v>
      </c>
      <c r="M8" s="1"/>
      <c r="O8" s="1"/>
    </row>
    <row r="9" spans="1:15" ht="28.5" customHeight="1">
      <c r="A9" s="1"/>
      <c r="B9" s="29">
        <v>13</v>
      </c>
      <c r="C9" s="29">
        <v>19</v>
      </c>
      <c r="D9" s="29">
        <v>43</v>
      </c>
      <c r="E9" s="29">
        <v>59</v>
      </c>
      <c r="F9" s="29">
        <v>71</v>
      </c>
      <c r="G9" s="29"/>
      <c r="H9" s="29">
        <v>13</v>
      </c>
      <c r="I9" s="29">
        <v>19</v>
      </c>
      <c r="J9" s="29">
        <v>43</v>
      </c>
      <c r="K9" s="29">
        <v>59</v>
      </c>
      <c r="L9" s="29">
        <v>71</v>
      </c>
      <c r="M9" s="1"/>
      <c r="O9" s="1"/>
    </row>
    <row r="10" spans="1:15" ht="28.5" customHeight="1">
      <c r="A10" s="1"/>
      <c r="B10" s="29">
        <v>12</v>
      </c>
      <c r="C10" s="29">
        <v>22</v>
      </c>
      <c r="D10" s="29">
        <v>42</v>
      </c>
      <c r="E10" s="29">
        <v>49</v>
      </c>
      <c r="F10" s="29">
        <v>72</v>
      </c>
      <c r="G10" s="29"/>
      <c r="H10" s="29">
        <v>12</v>
      </c>
      <c r="I10" s="29">
        <v>22</v>
      </c>
      <c r="J10" s="29">
        <v>42</v>
      </c>
      <c r="K10" s="29">
        <v>49</v>
      </c>
      <c r="L10" s="29">
        <v>72</v>
      </c>
      <c r="M10" s="1"/>
      <c r="O10" s="1"/>
    </row>
    <row r="11" spans="1:15" ht="28.5" customHeight="1">
      <c r="A11" s="1"/>
      <c r="B11" s="29">
        <v>8</v>
      </c>
      <c r="C11" s="29">
        <v>30</v>
      </c>
      <c r="D11" s="29" t="s">
        <v>44</v>
      </c>
      <c r="E11" s="29">
        <v>47</v>
      </c>
      <c r="F11" s="29">
        <v>64</v>
      </c>
      <c r="G11" s="29"/>
      <c r="H11" s="29">
        <v>8</v>
      </c>
      <c r="I11" s="29">
        <v>30</v>
      </c>
      <c r="J11" s="29" t="s">
        <v>44</v>
      </c>
      <c r="K11" s="29">
        <v>47</v>
      </c>
      <c r="L11" s="29">
        <v>64</v>
      </c>
      <c r="M11" s="1"/>
      <c r="O11" s="1"/>
    </row>
    <row r="12" spans="1:15" ht="28.5" customHeight="1">
      <c r="A12" s="1"/>
      <c r="B12" s="29">
        <v>9</v>
      </c>
      <c r="C12" s="29">
        <v>29</v>
      </c>
      <c r="D12" s="29">
        <v>38</v>
      </c>
      <c r="E12" s="29">
        <v>60</v>
      </c>
      <c r="F12" s="29">
        <v>67</v>
      </c>
      <c r="G12" s="29"/>
      <c r="H12" s="29">
        <v>9</v>
      </c>
      <c r="I12" s="29">
        <v>29</v>
      </c>
      <c r="J12" s="29">
        <v>38</v>
      </c>
      <c r="K12" s="29">
        <v>60</v>
      </c>
      <c r="L12" s="29">
        <v>67</v>
      </c>
      <c r="M12" s="1"/>
      <c r="O12" s="1"/>
    </row>
    <row r="13" spans="1:15" ht="28.5" customHeight="1">
      <c r="A13" s="1"/>
      <c r="B13" s="29">
        <v>3</v>
      </c>
      <c r="C13" s="29">
        <v>20</v>
      </c>
      <c r="D13" s="29">
        <v>45</v>
      </c>
      <c r="E13" s="29">
        <v>52</v>
      </c>
      <c r="F13" s="29">
        <v>75</v>
      </c>
      <c r="G13" s="29"/>
      <c r="H13" s="29">
        <v>3</v>
      </c>
      <c r="I13" s="29">
        <v>20</v>
      </c>
      <c r="J13" s="29">
        <v>45</v>
      </c>
      <c r="K13" s="29">
        <v>52</v>
      </c>
      <c r="L13" s="29">
        <v>75</v>
      </c>
      <c r="M13" s="1"/>
      <c r="O13" s="1"/>
    </row>
    <row r="14" spans="1:15" ht="28.5" customHeight="1"/>
    <row r="15" spans="1:15" ht="28.5" customHeight="1">
      <c r="A15" s="1"/>
      <c r="B15" s="27"/>
      <c r="C15" s="27"/>
      <c r="D15" s="27"/>
      <c r="E15" s="27"/>
      <c r="F15" s="27"/>
      <c r="G15" s="28"/>
      <c r="H15" s="27"/>
      <c r="I15" s="27"/>
      <c r="J15" s="27"/>
      <c r="K15" s="27"/>
      <c r="L15" s="27"/>
      <c r="M15" s="1"/>
      <c r="O15" s="1"/>
    </row>
    <row r="16" spans="1:15" ht="28.5" customHeight="1">
      <c r="A16" s="1"/>
      <c r="B16" s="29"/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1"/>
      <c r="O16" s="1"/>
    </row>
    <row r="17" spans="1:15" ht="28.5" customHeight="1">
      <c r="A17" s="1"/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1"/>
      <c r="O17" s="1"/>
    </row>
    <row r="18" spans="1:15" ht="28.5" customHeight="1">
      <c r="A18" s="1"/>
      <c r="B18" s="29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1"/>
      <c r="O18" s="1"/>
    </row>
    <row r="19" spans="1:15" ht="28.5" customHeight="1">
      <c r="A19" s="1"/>
      <c r="B19" s="29"/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1"/>
      <c r="O19" s="1"/>
    </row>
    <row r="20" spans="1:15" ht="28.5" customHeight="1">
      <c r="A20" s="1"/>
      <c r="B20" s="29"/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1"/>
      <c r="O20" s="1"/>
    </row>
    <row r="21" spans="1:15" ht="28.5" customHeight="1"/>
  </sheetData>
  <phoneticPr fontId="20" type="noConversion"/>
  <pageMargins left="0.7" right="0.7" top="0.75" bottom="0.75" header="0.3" footer="0.3"/>
  <pageSetup paperSize="9" scale="88" orientation="portrait" r:id="rId1"/>
  <rowBreaks count="1" manualBreakCount="1">
    <brk id="21" max="13" man="1"/>
  </row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A0652B67-9E95-4C5C-BA8B-D615740DED92}">
            <xm:f>HLOOKUP(B2,Cards!$O$2:$DQ$2,1,FALSE)</xm:f>
            <x14:dxf>
              <font>
                <b val="0"/>
                <i/>
                <strike val="0"/>
                <color theme="5"/>
              </font>
            </x14:dxf>
          </x14:cfRule>
          <xm:sqref>B2:L20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O21"/>
  <sheetViews>
    <sheetView zoomScaleNormal="100" zoomScaleSheetLayoutView="70" workbookViewId="0">
      <selection activeCell="L15" sqref="B15:L20"/>
    </sheetView>
  </sheetViews>
  <sheetFormatPr defaultRowHeight="33.75"/>
  <cols>
    <col min="1" max="1" width="4.140625" customWidth="1"/>
    <col min="2" max="6" width="8.7109375" style="5" customWidth="1"/>
    <col min="7" max="7" width="3.140625" customWidth="1"/>
    <col min="8" max="12" width="8.7109375" style="5" customWidth="1"/>
    <col min="13" max="13" width="4.140625" customWidth="1"/>
    <col min="14" max="14" width="11.85546875" customWidth="1"/>
  </cols>
  <sheetData>
    <row r="1" spans="1:15" ht="28.5" customHeight="1">
      <c r="A1" s="3"/>
      <c r="B1" s="27" t="s">
        <v>0</v>
      </c>
      <c r="C1" s="27" t="s">
        <v>1</v>
      </c>
      <c r="D1" s="27" t="s">
        <v>2</v>
      </c>
      <c r="E1" s="27" t="s">
        <v>3</v>
      </c>
      <c r="F1" s="27" t="s">
        <v>4</v>
      </c>
      <c r="G1" s="28"/>
      <c r="H1" s="27" t="s">
        <v>0</v>
      </c>
      <c r="I1" s="27" t="s">
        <v>1</v>
      </c>
      <c r="J1" s="27" t="s">
        <v>2</v>
      </c>
      <c r="K1" s="27" t="s">
        <v>3</v>
      </c>
      <c r="L1" s="27" t="s">
        <v>4</v>
      </c>
      <c r="M1" s="3"/>
      <c r="N1" s="5" t="str">
        <f ca="1">MID(CELL("filename",A1),FIND("]",CELL("filename",A1))+1,255)</f>
        <v>1 (13)</v>
      </c>
      <c r="O1" s="3"/>
    </row>
    <row r="2" spans="1:15" ht="28.5" customHeight="1">
      <c r="A2" s="4"/>
      <c r="B2" s="29">
        <v>5</v>
      </c>
      <c r="C2" s="29">
        <v>23</v>
      </c>
      <c r="D2" s="29">
        <v>32</v>
      </c>
      <c r="E2" s="29">
        <v>50</v>
      </c>
      <c r="F2" s="29">
        <v>69</v>
      </c>
      <c r="G2" s="29"/>
      <c r="H2" s="29">
        <v>5</v>
      </c>
      <c r="I2" s="29">
        <v>23</v>
      </c>
      <c r="J2" s="29">
        <v>32</v>
      </c>
      <c r="K2" s="29">
        <v>50</v>
      </c>
      <c r="L2" s="29">
        <v>69</v>
      </c>
      <c r="M2" s="4"/>
      <c r="O2" s="4"/>
    </row>
    <row r="3" spans="1:15" ht="28.5" customHeight="1">
      <c r="A3" s="4"/>
      <c r="B3" s="29">
        <v>10</v>
      </c>
      <c r="C3" s="29">
        <v>19</v>
      </c>
      <c r="D3" s="29">
        <v>38</v>
      </c>
      <c r="E3" s="29">
        <v>54</v>
      </c>
      <c r="F3" s="29">
        <v>67</v>
      </c>
      <c r="G3" s="29"/>
      <c r="H3" s="29">
        <v>10</v>
      </c>
      <c r="I3" s="29">
        <v>19</v>
      </c>
      <c r="J3" s="29">
        <v>38</v>
      </c>
      <c r="K3" s="29">
        <v>54</v>
      </c>
      <c r="L3" s="29">
        <v>67</v>
      </c>
      <c r="M3" s="4"/>
      <c r="O3" s="4"/>
    </row>
    <row r="4" spans="1:15" ht="28.5" customHeight="1">
      <c r="A4" s="4"/>
      <c r="B4" s="29">
        <v>14</v>
      </c>
      <c r="C4" s="29">
        <v>27</v>
      </c>
      <c r="D4" s="29" t="s">
        <v>44</v>
      </c>
      <c r="E4" s="29">
        <v>48</v>
      </c>
      <c r="F4" s="29">
        <v>65</v>
      </c>
      <c r="G4" s="29"/>
      <c r="H4" s="29">
        <v>14</v>
      </c>
      <c r="I4" s="29">
        <v>27</v>
      </c>
      <c r="J4" s="29" t="s">
        <v>44</v>
      </c>
      <c r="K4" s="29">
        <v>48</v>
      </c>
      <c r="L4" s="29">
        <v>65</v>
      </c>
      <c r="M4" s="4"/>
      <c r="O4" s="4"/>
    </row>
    <row r="5" spans="1:15" ht="28.5" customHeight="1">
      <c r="A5" s="4"/>
      <c r="B5" s="29">
        <v>15</v>
      </c>
      <c r="C5" s="29">
        <v>20</v>
      </c>
      <c r="D5" s="29">
        <v>35</v>
      </c>
      <c r="E5" s="29">
        <v>52</v>
      </c>
      <c r="F5" s="29">
        <v>72</v>
      </c>
      <c r="G5" s="29"/>
      <c r="H5" s="29">
        <v>15</v>
      </c>
      <c r="I5" s="29">
        <v>20</v>
      </c>
      <c r="J5" s="29">
        <v>35</v>
      </c>
      <c r="K5" s="29">
        <v>52</v>
      </c>
      <c r="L5" s="29">
        <v>72</v>
      </c>
      <c r="M5" s="4"/>
      <c r="O5" s="4"/>
    </row>
    <row r="6" spans="1:15" ht="28.5" customHeight="1">
      <c r="A6" s="4"/>
      <c r="B6" s="29">
        <v>7</v>
      </c>
      <c r="C6" s="29">
        <v>28</v>
      </c>
      <c r="D6" s="29">
        <v>41</v>
      </c>
      <c r="E6" s="29">
        <v>55</v>
      </c>
      <c r="F6" s="29">
        <v>64</v>
      </c>
      <c r="G6" s="29"/>
      <c r="H6" s="29">
        <v>7</v>
      </c>
      <c r="I6" s="29">
        <v>28</v>
      </c>
      <c r="J6" s="29">
        <v>41</v>
      </c>
      <c r="K6" s="29">
        <v>55</v>
      </c>
      <c r="L6" s="29">
        <v>64</v>
      </c>
      <c r="M6" s="4"/>
      <c r="O6" s="4"/>
    </row>
    <row r="7" spans="1:15" ht="28.5" customHeight="1"/>
    <row r="8" spans="1:15" ht="28.5" customHeight="1">
      <c r="A8" s="1"/>
      <c r="B8" s="27" t="s">
        <v>0</v>
      </c>
      <c r="C8" s="27" t="s">
        <v>1</v>
      </c>
      <c r="D8" s="27" t="s">
        <v>2</v>
      </c>
      <c r="E8" s="27" t="s">
        <v>3</v>
      </c>
      <c r="F8" s="27" t="s">
        <v>4</v>
      </c>
      <c r="G8" s="28"/>
      <c r="H8" s="27" t="s">
        <v>0</v>
      </c>
      <c r="I8" s="27" t="s">
        <v>1</v>
      </c>
      <c r="J8" s="27" t="s">
        <v>2</v>
      </c>
      <c r="K8" s="27" t="s">
        <v>3</v>
      </c>
      <c r="L8" s="27" t="s">
        <v>4</v>
      </c>
      <c r="M8" s="1"/>
      <c r="O8" s="1"/>
    </row>
    <row r="9" spans="1:15" ht="28.5" customHeight="1">
      <c r="A9" s="1"/>
      <c r="B9" s="29">
        <v>11</v>
      </c>
      <c r="C9" s="29">
        <v>22</v>
      </c>
      <c r="D9" s="29">
        <v>35</v>
      </c>
      <c r="E9" s="29">
        <v>54</v>
      </c>
      <c r="F9" s="29">
        <v>68</v>
      </c>
      <c r="G9" s="29"/>
      <c r="H9" s="29">
        <v>11</v>
      </c>
      <c r="I9" s="29">
        <v>22</v>
      </c>
      <c r="J9" s="29">
        <v>35</v>
      </c>
      <c r="K9" s="29">
        <v>54</v>
      </c>
      <c r="L9" s="29">
        <v>68</v>
      </c>
      <c r="M9" s="1"/>
      <c r="O9" s="1"/>
    </row>
    <row r="10" spans="1:15" ht="28.5" customHeight="1">
      <c r="A10" s="1"/>
      <c r="B10" s="29">
        <v>12</v>
      </c>
      <c r="C10" s="29">
        <v>27</v>
      </c>
      <c r="D10" s="29">
        <v>34</v>
      </c>
      <c r="E10" s="29">
        <v>47</v>
      </c>
      <c r="F10" s="29">
        <v>63</v>
      </c>
      <c r="G10" s="29"/>
      <c r="H10" s="29">
        <v>12</v>
      </c>
      <c r="I10" s="29">
        <v>27</v>
      </c>
      <c r="J10" s="29">
        <v>34</v>
      </c>
      <c r="K10" s="29">
        <v>47</v>
      </c>
      <c r="L10" s="29">
        <v>63</v>
      </c>
      <c r="M10" s="1"/>
      <c r="O10" s="1"/>
    </row>
    <row r="11" spans="1:15" ht="28.5" customHeight="1">
      <c r="A11" s="1"/>
      <c r="B11" s="29">
        <v>5</v>
      </c>
      <c r="C11" s="29">
        <v>21</v>
      </c>
      <c r="D11" s="29" t="s">
        <v>44</v>
      </c>
      <c r="E11" s="29">
        <v>46</v>
      </c>
      <c r="F11" s="29">
        <v>72</v>
      </c>
      <c r="G11" s="29"/>
      <c r="H11" s="29">
        <v>5</v>
      </c>
      <c r="I11" s="29">
        <v>21</v>
      </c>
      <c r="J11" s="29" t="s">
        <v>44</v>
      </c>
      <c r="K11" s="29">
        <v>46</v>
      </c>
      <c r="L11" s="29">
        <v>72</v>
      </c>
      <c r="M11" s="1"/>
      <c r="O11" s="1"/>
    </row>
    <row r="12" spans="1:15" ht="28.5" customHeight="1">
      <c r="A12" s="1"/>
      <c r="B12" s="29">
        <v>3</v>
      </c>
      <c r="C12" s="29">
        <v>20</v>
      </c>
      <c r="D12" s="29">
        <v>37</v>
      </c>
      <c r="E12" s="29">
        <v>49</v>
      </c>
      <c r="F12" s="29">
        <v>64</v>
      </c>
      <c r="G12" s="29"/>
      <c r="H12" s="29">
        <v>3</v>
      </c>
      <c r="I12" s="29">
        <v>20</v>
      </c>
      <c r="J12" s="29">
        <v>37</v>
      </c>
      <c r="K12" s="29">
        <v>49</v>
      </c>
      <c r="L12" s="29">
        <v>64</v>
      </c>
      <c r="M12" s="1"/>
      <c r="O12" s="1"/>
    </row>
    <row r="13" spans="1:15" ht="28.5" customHeight="1">
      <c r="A13" s="1"/>
      <c r="B13" s="29">
        <v>1</v>
      </c>
      <c r="C13" s="29">
        <v>18</v>
      </c>
      <c r="D13" s="29">
        <v>42</v>
      </c>
      <c r="E13" s="29">
        <v>55</v>
      </c>
      <c r="F13" s="29">
        <v>65</v>
      </c>
      <c r="G13" s="29"/>
      <c r="H13" s="29">
        <v>1</v>
      </c>
      <c r="I13" s="29">
        <v>18</v>
      </c>
      <c r="J13" s="29">
        <v>42</v>
      </c>
      <c r="K13" s="29">
        <v>55</v>
      </c>
      <c r="L13" s="29">
        <v>65</v>
      </c>
      <c r="M13" s="1"/>
      <c r="O13" s="1"/>
    </row>
    <row r="14" spans="1:15" ht="28.5" customHeight="1"/>
    <row r="15" spans="1:15" ht="28.5" customHeight="1">
      <c r="A15" s="1"/>
      <c r="B15" s="27"/>
      <c r="C15" s="27"/>
      <c r="D15" s="27"/>
      <c r="E15" s="27"/>
      <c r="F15" s="27"/>
      <c r="G15" s="28"/>
      <c r="H15" s="27"/>
      <c r="I15" s="27"/>
      <c r="J15" s="27"/>
      <c r="K15" s="27"/>
      <c r="L15" s="27"/>
      <c r="M15" s="1"/>
      <c r="O15" s="1"/>
    </row>
    <row r="16" spans="1:15" ht="28.5" customHeight="1">
      <c r="A16" s="1"/>
      <c r="B16" s="29"/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1"/>
      <c r="O16" s="1"/>
    </row>
    <row r="17" spans="1:15" ht="28.5" customHeight="1">
      <c r="A17" s="1"/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1"/>
      <c r="O17" s="1"/>
    </row>
    <row r="18" spans="1:15" ht="28.5" customHeight="1">
      <c r="A18" s="1"/>
      <c r="B18" s="29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1"/>
      <c r="O18" s="1"/>
    </row>
    <row r="19" spans="1:15" ht="28.5" customHeight="1">
      <c r="A19" s="1"/>
      <c r="B19" s="29"/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1"/>
      <c r="O19" s="1"/>
    </row>
    <row r="20" spans="1:15" ht="28.5" customHeight="1">
      <c r="A20" s="1"/>
      <c r="B20" s="29"/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1"/>
      <c r="O20" s="1"/>
    </row>
    <row r="21" spans="1:15" ht="28.5" customHeight="1"/>
  </sheetData>
  <phoneticPr fontId="20" type="noConversion"/>
  <pageMargins left="0.7" right="0.7" top="0.75" bottom="0.75" header="0.3" footer="0.3"/>
  <pageSetup paperSize="9" scale="88" orientation="portrait" r:id="rId1"/>
  <rowBreaks count="1" manualBreakCount="1">
    <brk id="21" max="13" man="1"/>
  </row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6C48CAD0-11BE-49D0-92B6-E6E49238E24C}">
            <xm:f>HLOOKUP(B2,Cards!$O$2:$DQ$2,1,FALSE)</xm:f>
            <x14:dxf>
              <font>
                <b val="0"/>
                <i/>
                <strike val="0"/>
                <color theme="5"/>
              </font>
            </x14:dxf>
          </x14:cfRule>
          <xm:sqref>B2:L20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O21"/>
  <sheetViews>
    <sheetView zoomScaleNormal="100" zoomScaleSheetLayoutView="70" workbookViewId="0">
      <selection activeCell="L15" sqref="B15:L20"/>
    </sheetView>
  </sheetViews>
  <sheetFormatPr defaultRowHeight="33.75"/>
  <cols>
    <col min="1" max="1" width="4.140625" customWidth="1"/>
    <col min="2" max="6" width="8.7109375" style="5" customWidth="1"/>
    <col min="7" max="7" width="3.140625" customWidth="1"/>
    <col min="8" max="12" width="8.7109375" style="5" customWidth="1"/>
    <col min="13" max="13" width="4.140625" customWidth="1"/>
    <col min="14" max="14" width="12.140625" customWidth="1"/>
  </cols>
  <sheetData>
    <row r="1" spans="1:15" ht="28.5" customHeight="1">
      <c r="A1" s="3"/>
      <c r="B1" s="27" t="s">
        <v>0</v>
      </c>
      <c r="C1" s="27" t="s">
        <v>1</v>
      </c>
      <c r="D1" s="27" t="s">
        <v>2</v>
      </c>
      <c r="E1" s="27" t="s">
        <v>3</v>
      </c>
      <c r="F1" s="27" t="s">
        <v>4</v>
      </c>
      <c r="G1" s="28"/>
      <c r="H1" s="27" t="s">
        <v>0</v>
      </c>
      <c r="I1" s="27" t="s">
        <v>1</v>
      </c>
      <c r="J1" s="27" t="s">
        <v>2</v>
      </c>
      <c r="K1" s="27" t="s">
        <v>3</v>
      </c>
      <c r="L1" s="27" t="s">
        <v>4</v>
      </c>
      <c r="M1" s="3"/>
      <c r="N1" s="5" t="str">
        <f ca="1">MID(CELL("filename",A1),FIND("]",CELL("filename",A1))+1,255)</f>
        <v>1 (14)</v>
      </c>
      <c r="O1" s="3"/>
    </row>
    <row r="2" spans="1:15" ht="28.5" customHeight="1">
      <c r="A2" s="4"/>
      <c r="B2" s="29">
        <v>3</v>
      </c>
      <c r="C2" s="29">
        <v>18</v>
      </c>
      <c r="D2" s="29">
        <v>45</v>
      </c>
      <c r="E2" s="29">
        <v>55</v>
      </c>
      <c r="F2" s="29">
        <v>74</v>
      </c>
      <c r="G2" s="29"/>
      <c r="H2" s="29">
        <v>3</v>
      </c>
      <c r="I2" s="29">
        <v>18</v>
      </c>
      <c r="J2" s="29">
        <v>45</v>
      </c>
      <c r="K2" s="29">
        <v>55</v>
      </c>
      <c r="L2" s="29">
        <v>74</v>
      </c>
      <c r="M2" s="4"/>
      <c r="O2" s="4"/>
    </row>
    <row r="3" spans="1:15" ht="28.5" customHeight="1">
      <c r="A3" s="4"/>
      <c r="B3" s="29">
        <v>15</v>
      </c>
      <c r="C3" s="29">
        <v>27</v>
      </c>
      <c r="D3" s="29">
        <v>41</v>
      </c>
      <c r="E3" s="29">
        <v>57</v>
      </c>
      <c r="F3" s="29">
        <v>75</v>
      </c>
      <c r="G3" s="29"/>
      <c r="H3" s="29">
        <v>15</v>
      </c>
      <c r="I3" s="29">
        <v>27</v>
      </c>
      <c r="J3" s="29">
        <v>41</v>
      </c>
      <c r="K3" s="29">
        <v>57</v>
      </c>
      <c r="L3" s="29">
        <v>75</v>
      </c>
      <c r="M3" s="4"/>
      <c r="O3" s="4"/>
    </row>
    <row r="4" spans="1:15" ht="28.5" customHeight="1">
      <c r="A4" s="4"/>
      <c r="B4" s="29">
        <v>10</v>
      </c>
      <c r="C4" s="29">
        <v>19</v>
      </c>
      <c r="D4" s="29" t="s">
        <v>44</v>
      </c>
      <c r="E4" s="29">
        <v>53</v>
      </c>
      <c r="F4" s="29">
        <v>62</v>
      </c>
      <c r="G4" s="29"/>
      <c r="H4" s="29">
        <v>10</v>
      </c>
      <c r="I4" s="29">
        <v>19</v>
      </c>
      <c r="J4" s="29" t="s">
        <v>44</v>
      </c>
      <c r="K4" s="29">
        <v>53</v>
      </c>
      <c r="L4" s="29">
        <v>62</v>
      </c>
      <c r="M4" s="4"/>
      <c r="O4" s="4"/>
    </row>
    <row r="5" spans="1:15" ht="28.5" customHeight="1">
      <c r="A5" s="4"/>
      <c r="B5" s="29">
        <v>13</v>
      </c>
      <c r="C5" s="29">
        <v>24</v>
      </c>
      <c r="D5" s="29">
        <v>34</v>
      </c>
      <c r="E5" s="29">
        <v>48</v>
      </c>
      <c r="F5" s="29">
        <v>64</v>
      </c>
      <c r="G5" s="29"/>
      <c r="H5" s="29">
        <v>13</v>
      </c>
      <c r="I5" s="29">
        <v>24</v>
      </c>
      <c r="J5" s="29">
        <v>34</v>
      </c>
      <c r="K5" s="29">
        <v>48</v>
      </c>
      <c r="L5" s="29">
        <v>64</v>
      </c>
      <c r="M5" s="4"/>
      <c r="O5" s="4"/>
    </row>
    <row r="6" spans="1:15" ht="28.5" customHeight="1">
      <c r="A6" s="4"/>
      <c r="B6" s="29">
        <v>7</v>
      </c>
      <c r="C6" s="29">
        <v>21</v>
      </c>
      <c r="D6" s="29">
        <v>43</v>
      </c>
      <c r="E6" s="29">
        <v>58</v>
      </c>
      <c r="F6" s="29">
        <v>72</v>
      </c>
      <c r="G6" s="29"/>
      <c r="H6" s="29">
        <v>7</v>
      </c>
      <c r="I6" s="29">
        <v>21</v>
      </c>
      <c r="J6" s="29">
        <v>43</v>
      </c>
      <c r="K6" s="29">
        <v>58</v>
      </c>
      <c r="L6" s="29">
        <v>72</v>
      </c>
      <c r="M6" s="4"/>
      <c r="O6" s="4"/>
    </row>
    <row r="7" spans="1:15" ht="28.5" customHeight="1"/>
    <row r="8" spans="1:15" ht="28.5" customHeight="1">
      <c r="A8" s="1"/>
      <c r="B8" s="27" t="s">
        <v>0</v>
      </c>
      <c r="C8" s="27" t="s">
        <v>1</v>
      </c>
      <c r="D8" s="27" t="s">
        <v>2</v>
      </c>
      <c r="E8" s="27" t="s">
        <v>3</v>
      </c>
      <c r="F8" s="27" t="s">
        <v>4</v>
      </c>
      <c r="G8" s="28"/>
      <c r="H8" s="27" t="s">
        <v>0</v>
      </c>
      <c r="I8" s="27" t="s">
        <v>1</v>
      </c>
      <c r="J8" s="27" t="s">
        <v>2</v>
      </c>
      <c r="K8" s="27" t="s">
        <v>3</v>
      </c>
      <c r="L8" s="27" t="s">
        <v>4</v>
      </c>
      <c r="M8" s="1"/>
      <c r="O8" s="1"/>
    </row>
    <row r="9" spans="1:15" ht="28.5" customHeight="1">
      <c r="A9" s="1"/>
      <c r="B9" s="29">
        <v>9</v>
      </c>
      <c r="C9" s="29">
        <v>25</v>
      </c>
      <c r="D9" s="29">
        <v>39</v>
      </c>
      <c r="E9" s="29">
        <v>46</v>
      </c>
      <c r="F9" s="29">
        <v>68</v>
      </c>
      <c r="G9" s="29"/>
      <c r="H9" s="29">
        <v>9</v>
      </c>
      <c r="I9" s="29">
        <v>25</v>
      </c>
      <c r="J9" s="29">
        <v>39</v>
      </c>
      <c r="K9" s="29">
        <v>46</v>
      </c>
      <c r="L9" s="29">
        <v>68</v>
      </c>
      <c r="M9" s="1"/>
      <c r="O9" s="1"/>
    </row>
    <row r="10" spans="1:15" ht="28.5" customHeight="1">
      <c r="A10" s="1"/>
      <c r="B10" s="29">
        <v>8</v>
      </c>
      <c r="C10" s="29">
        <v>28</v>
      </c>
      <c r="D10" s="29">
        <v>37</v>
      </c>
      <c r="E10" s="29">
        <v>55</v>
      </c>
      <c r="F10" s="29">
        <v>64</v>
      </c>
      <c r="G10" s="29"/>
      <c r="H10" s="29">
        <v>8</v>
      </c>
      <c r="I10" s="29">
        <v>28</v>
      </c>
      <c r="J10" s="29">
        <v>37</v>
      </c>
      <c r="K10" s="29">
        <v>55</v>
      </c>
      <c r="L10" s="29">
        <v>64</v>
      </c>
      <c r="M10" s="1"/>
      <c r="O10" s="1"/>
    </row>
    <row r="11" spans="1:15" ht="28.5" customHeight="1">
      <c r="A11" s="1"/>
      <c r="B11" s="29">
        <v>6</v>
      </c>
      <c r="C11" s="29">
        <v>30</v>
      </c>
      <c r="D11" s="29" t="s">
        <v>44</v>
      </c>
      <c r="E11" s="29">
        <v>59</v>
      </c>
      <c r="F11" s="29">
        <v>71</v>
      </c>
      <c r="G11" s="29"/>
      <c r="H11" s="29">
        <v>6</v>
      </c>
      <c r="I11" s="29">
        <v>30</v>
      </c>
      <c r="J11" s="29" t="s">
        <v>44</v>
      </c>
      <c r="K11" s="29">
        <v>59</v>
      </c>
      <c r="L11" s="29">
        <v>71</v>
      </c>
      <c r="M11" s="1"/>
      <c r="O11" s="1"/>
    </row>
    <row r="12" spans="1:15" ht="28.5" customHeight="1">
      <c r="A12" s="1"/>
      <c r="B12" s="29">
        <v>12</v>
      </c>
      <c r="C12" s="29">
        <v>16</v>
      </c>
      <c r="D12" s="29">
        <v>32</v>
      </c>
      <c r="E12" s="29">
        <v>51</v>
      </c>
      <c r="F12" s="29">
        <v>72</v>
      </c>
      <c r="G12" s="29"/>
      <c r="H12" s="29">
        <v>12</v>
      </c>
      <c r="I12" s="29">
        <v>16</v>
      </c>
      <c r="J12" s="29">
        <v>32</v>
      </c>
      <c r="K12" s="29">
        <v>51</v>
      </c>
      <c r="L12" s="29">
        <v>72</v>
      </c>
      <c r="M12" s="1"/>
      <c r="O12" s="1"/>
    </row>
    <row r="13" spans="1:15" ht="28.5" customHeight="1">
      <c r="A13" s="1"/>
      <c r="B13" s="29">
        <v>13</v>
      </c>
      <c r="C13" s="29">
        <v>19</v>
      </c>
      <c r="D13" s="29">
        <v>40</v>
      </c>
      <c r="E13" s="29">
        <v>57</v>
      </c>
      <c r="F13" s="29">
        <v>74</v>
      </c>
      <c r="G13" s="29"/>
      <c r="H13" s="29">
        <v>13</v>
      </c>
      <c r="I13" s="29">
        <v>19</v>
      </c>
      <c r="J13" s="29">
        <v>40</v>
      </c>
      <c r="K13" s="29">
        <v>57</v>
      </c>
      <c r="L13" s="29">
        <v>74</v>
      </c>
      <c r="M13" s="1"/>
      <c r="O13" s="1"/>
    </row>
    <row r="14" spans="1:15" ht="28.5" customHeight="1"/>
    <row r="15" spans="1:15" ht="28.5" customHeight="1">
      <c r="A15" s="1"/>
      <c r="B15" s="27"/>
      <c r="C15" s="27"/>
      <c r="D15" s="27"/>
      <c r="E15" s="27"/>
      <c r="F15" s="27"/>
      <c r="G15" s="28"/>
      <c r="H15" s="27"/>
      <c r="I15" s="27"/>
      <c r="J15" s="27"/>
      <c r="K15" s="27"/>
      <c r="L15" s="27"/>
      <c r="M15" s="1"/>
      <c r="O15" s="1"/>
    </row>
    <row r="16" spans="1:15" ht="28.5" customHeight="1">
      <c r="A16" s="1"/>
      <c r="B16" s="29"/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1"/>
      <c r="O16" s="1"/>
    </row>
    <row r="17" spans="1:15" ht="28.5" customHeight="1">
      <c r="A17" s="1"/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1"/>
      <c r="O17" s="1"/>
    </row>
    <row r="18" spans="1:15" ht="28.5" customHeight="1">
      <c r="A18" s="1"/>
      <c r="B18" s="29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1"/>
      <c r="O18" s="1"/>
    </row>
    <row r="19" spans="1:15" ht="28.5" customHeight="1">
      <c r="A19" s="1"/>
      <c r="B19" s="29"/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1"/>
      <c r="O19" s="1"/>
    </row>
    <row r="20" spans="1:15" ht="28.5" customHeight="1">
      <c r="A20" s="1"/>
      <c r="B20" s="29"/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1"/>
      <c r="O20" s="1"/>
    </row>
    <row r="21" spans="1:15" ht="28.5" customHeight="1"/>
  </sheetData>
  <phoneticPr fontId="20" type="noConversion"/>
  <pageMargins left="0.7" right="0.7" top="0.75" bottom="0.75" header="0.3" footer="0.3"/>
  <pageSetup paperSize="9" scale="88" orientation="portrait" r:id="rId1"/>
  <rowBreaks count="1" manualBreakCount="1">
    <brk id="21" max="13" man="1"/>
  </row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808B5CDF-37CF-40E1-A899-832FBA9FE9AF}">
            <xm:f>HLOOKUP(B2,Cards!$O$2:$DQ$2,1,FALSE)</xm:f>
            <x14:dxf>
              <font>
                <b val="0"/>
                <i/>
                <strike val="0"/>
                <color theme="5"/>
              </font>
            </x14:dxf>
          </x14:cfRule>
          <xm:sqref>B2:L20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O21"/>
  <sheetViews>
    <sheetView zoomScaleNormal="100" zoomScaleSheetLayoutView="70" workbookViewId="0">
      <selection activeCell="L15" sqref="B15:L20"/>
    </sheetView>
  </sheetViews>
  <sheetFormatPr defaultRowHeight="33.75"/>
  <cols>
    <col min="1" max="1" width="4.140625" customWidth="1"/>
    <col min="2" max="6" width="8.7109375" style="5" customWidth="1"/>
    <col min="7" max="7" width="3.140625" customWidth="1"/>
    <col min="8" max="12" width="8.7109375" style="5" customWidth="1"/>
    <col min="13" max="13" width="4.140625" customWidth="1"/>
    <col min="14" max="14" width="12.5703125" customWidth="1"/>
  </cols>
  <sheetData>
    <row r="1" spans="1:15" ht="28.5" customHeight="1">
      <c r="A1" s="3"/>
      <c r="B1" s="27" t="s">
        <v>0</v>
      </c>
      <c r="C1" s="27" t="s">
        <v>1</v>
      </c>
      <c r="D1" s="27" t="s">
        <v>2</v>
      </c>
      <c r="E1" s="27" t="s">
        <v>3</v>
      </c>
      <c r="F1" s="27" t="s">
        <v>4</v>
      </c>
      <c r="G1" s="28"/>
      <c r="H1" s="27" t="s">
        <v>0</v>
      </c>
      <c r="I1" s="27" t="s">
        <v>1</v>
      </c>
      <c r="J1" s="27" t="s">
        <v>2</v>
      </c>
      <c r="K1" s="27" t="s">
        <v>3</v>
      </c>
      <c r="L1" s="27" t="s">
        <v>4</v>
      </c>
      <c r="M1" s="3"/>
      <c r="N1" s="5" t="str">
        <f ca="1">MID(CELL("filename",A1),FIND("]",CELL("filename",A1))+1,255)</f>
        <v>1 (15)</v>
      </c>
      <c r="O1" s="3"/>
    </row>
    <row r="2" spans="1:15" ht="28.5" customHeight="1">
      <c r="A2" s="4"/>
      <c r="B2" s="29">
        <v>13</v>
      </c>
      <c r="C2" s="29">
        <v>29</v>
      </c>
      <c r="D2" s="29">
        <v>43</v>
      </c>
      <c r="E2" s="29">
        <v>51</v>
      </c>
      <c r="F2" s="29">
        <v>69</v>
      </c>
      <c r="G2" s="29"/>
      <c r="H2" s="29">
        <v>13</v>
      </c>
      <c r="I2" s="29">
        <v>29</v>
      </c>
      <c r="J2" s="29">
        <v>43</v>
      </c>
      <c r="K2" s="29">
        <v>51</v>
      </c>
      <c r="L2" s="29">
        <v>69</v>
      </c>
      <c r="M2" s="4"/>
      <c r="O2" s="4"/>
    </row>
    <row r="3" spans="1:15" ht="28.5" customHeight="1">
      <c r="A3" s="4"/>
      <c r="B3" s="29">
        <v>14</v>
      </c>
      <c r="C3" s="29">
        <v>18</v>
      </c>
      <c r="D3" s="29">
        <v>40</v>
      </c>
      <c r="E3" s="29">
        <v>53</v>
      </c>
      <c r="F3" s="29">
        <v>67</v>
      </c>
      <c r="G3" s="29"/>
      <c r="H3" s="29">
        <v>14</v>
      </c>
      <c r="I3" s="29">
        <v>18</v>
      </c>
      <c r="J3" s="29">
        <v>40</v>
      </c>
      <c r="K3" s="29">
        <v>53</v>
      </c>
      <c r="L3" s="29">
        <v>67</v>
      </c>
      <c r="M3" s="4"/>
      <c r="O3" s="4"/>
    </row>
    <row r="4" spans="1:15" ht="28.5" customHeight="1">
      <c r="A4" s="4"/>
      <c r="B4" s="29">
        <v>2</v>
      </c>
      <c r="C4" s="29">
        <v>27</v>
      </c>
      <c r="D4" s="29" t="s">
        <v>44</v>
      </c>
      <c r="E4" s="29">
        <v>49</v>
      </c>
      <c r="F4" s="29">
        <v>61</v>
      </c>
      <c r="G4" s="29"/>
      <c r="H4" s="29">
        <v>2</v>
      </c>
      <c r="I4" s="29">
        <v>27</v>
      </c>
      <c r="J4" s="29" t="s">
        <v>44</v>
      </c>
      <c r="K4" s="29">
        <v>49</v>
      </c>
      <c r="L4" s="29">
        <v>61</v>
      </c>
      <c r="M4" s="4"/>
      <c r="O4" s="4"/>
    </row>
    <row r="5" spans="1:15" ht="28.5" customHeight="1">
      <c r="A5" s="4"/>
      <c r="B5" s="29">
        <v>8</v>
      </c>
      <c r="C5" s="29">
        <v>28</v>
      </c>
      <c r="D5" s="29">
        <v>42</v>
      </c>
      <c r="E5" s="29">
        <v>60</v>
      </c>
      <c r="F5" s="29">
        <v>62</v>
      </c>
      <c r="G5" s="29"/>
      <c r="H5" s="29">
        <v>8</v>
      </c>
      <c r="I5" s="29">
        <v>28</v>
      </c>
      <c r="J5" s="29">
        <v>42</v>
      </c>
      <c r="K5" s="29">
        <v>60</v>
      </c>
      <c r="L5" s="29">
        <v>62</v>
      </c>
      <c r="M5" s="4"/>
      <c r="O5" s="4"/>
    </row>
    <row r="6" spans="1:15" ht="28.5" customHeight="1">
      <c r="A6" s="4"/>
      <c r="B6" s="29">
        <v>12</v>
      </c>
      <c r="C6" s="29">
        <v>19</v>
      </c>
      <c r="D6" s="29">
        <v>33</v>
      </c>
      <c r="E6" s="29">
        <v>55</v>
      </c>
      <c r="F6" s="29">
        <v>66</v>
      </c>
      <c r="G6" s="29"/>
      <c r="H6" s="29">
        <v>12</v>
      </c>
      <c r="I6" s="29">
        <v>19</v>
      </c>
      <c r="J6" s="29">
        <v>33</v>
      </c>
      <c r="K6" s="29">
        <v>55</v>
      </c>
      <c r="L6" s="29">
        <v>66</v>
      </c>
      <c r="M6" s="4"/>
      <c r="O6" s="4"/>
    </row>
    <row r="7" spans="1:15" ht="28.5" customHeight="1"/>
    <row r="8" spans="1:15" ht="28.5" customHeight="1">
      <c r="A8" s="1"/>
      <c r="B8" s="27" t="s">
        <v>0</v>
      </c>
      <c r="C8" s="27" t="s">
        <v>1</v>
      </c>
      <c r="D8" s="27" t="s">
        <v>2</v>
      </c>
      <c r="E8" s="27" t="s">
        <v>3</v>
      </c>
      <c r="F8" s="27" t="s">
        <v>4</v>
      </c>
      <c r="G8" s="28"/>
      <c r="H8" s="27" t="s">
        <v>0</v>
      </c>
      <c r="I8" s="27" t="s">
        <v>1</v>
      </c>
      <c r="J8" s="27" t="s">
        <v>2</v>
      </c>
      <c r="K8" s="27" t="s">
        <v>3</v>
      </c>
      <c r="L8" s="27" t="s">
        <v>4</v>
      </c>
      <c r="M8" s="1"/>
      <c r="O8" s="1"/>
    </row>
    <row r="9" spans="1:15" ht="28.5" customHeight="1">
      <c r="A9" s="1"/>
      <c r="B9" s="29">
        <v>10</v>
      </c>
      <c r="C9" s="29">
        <v>30</v>
      </c>
      <c r="D9" s="29">
        <v>31</v>
      </c>
      <c r="E9" s="29">
        <v>57</v>
      </c>
      <c r="F9" s="29">
        <v>68</v>
      </c>
      <c r="G9" s="29"/>
      <c r="H9" s="29">
        <v>10</v>
      </c>
      <c r="I9" s="29">
        <v>30</v>
      </c>
      <c r="J9" s="29">
        <v>31</v>
      </c>
      <c r="K9" s="29">
        <v>57</v>
      </c>
      <c r="L9" s="29">
        <v>68</v>
      </c>
      <c r="M9" s="1"/>
      <c r="O9" s="1"/>
    </row>
    <row r="10" spans="1:15" ht="28.5" customHeight="1">
      <c r="A10" s="1"/>
      <c r="B10" s="29">
        <v>13</v>
      </c>
      <c r="C10" s="29">
        <v>16</v>
      </c>
      <c r="D10" s="29">
        <v>32</v>
      </c>
      <c r="E10" s="29">
        <v>46</v>
      </c>
      <c r="F10" s="29">
        <v>65</v>
      </c>
      <c r="G10" s="29"/>
      <c r="H10" s="29">
        <v>13</v>
      </c>
      <c r="I10" s="29">
        <v>16</v>
      </c>
      <c r="J10" s="29">
        <v>32</v>
      </c>
      <c r="K10" s="29">
        <v>46</v>
      </c>
      <c r="L10" s="29">
        <v>65</v>
      </c>
      <c r="M10" s="1"/>
      <c r="O10" s="1"/>
    </row>
    <row r="11" spans="1:15" ht="28.5" customHeight="1">
      <c r="A11" s="1"/>
      <c r="B11" s="29">
        <v>12</v>
      </c>
      <c r="C11" s="29">
        <v>22</v>
      </c>
      <c r="D11" s="29" t="s">
        <v>44</v>
      </c>
      <c r="E11" s="29">
        <v>55</v>
      </c>
      <c r="F11" s="29">
        <v>62</v>
      </c>
      <c r="G11" s="29"/>
      <c r="H11" s="29">
        <v>12</v>
      </c>
      <c r="I11" s="29">
        <v>22</v>
      </c>
      <c r="J11" s="29" t="s">
        <v>44</v>
      </c>
      <c r="K11" s="29">
        <v>55</v>
      </c>
      <c r="L11" s="29">
        <v>62</v>
      </c>
      <c r="M11" s="1"/>
      <c r="O11" s="1"/>
    </row>
    <row r="12" spans="1:15" ht="28.5" customHeight="1">
      <c r="A12" s="1"/>
      <c r="B12" s="29">
        <v>4</v>
      </c>
      <c r="C12" s="29">
        <v>28</v>
      </c>
      <c r="D12" s="29">
        <v>38</v>
      </c>
      <c r="E12" s="29">
        <v>53</v>
      </c>
      <c r="F12" s="29">
        <v>72</v>
      </c>
      <c r="G12" s="29"/>
      <c r="H12" s="29">
        <v>4</v>
      </c>
      <c r="I12" s="29">
        <v>28</v>
      </c>
      <c r="J12" s="29">
        <v>38</v>
      </c>
      <c r="K12" s="29">
        <v>53</v>
      </c>
      <c r="L12" s="29">
        <v>72</v>
      </c>
      <c r="M12" s="1"/>
      <c r="O12" s="1"/>
    </row>
    <row r="13" spans="1:15" ht="28.5" customHeight="1">
      <c r="A13" s="1"/>
      <c r="B13" s="29">
        <v>3</v>
      </c>
      <c r="C13" s="29">
        <v>17</v>
      </c>
      <c r="D13" s="29">
        <v>39</v>
      </c>
      <c r="E13" s="29">
        <v>54</v>
      </c>
      <c r="F13" s="29">
        <v>63</v>
      </c>
      <c r="G13" s="29"/>
      <c r="H13" s="29">
        <v>3</v>
      </c>
      <c r="I13" s="29">
        <v>17</v>
      </c>
      <c r="J13" s="29">
        <v>39</v>
      </c>
      <c r="K13" s="29">
        <v>54</v>
      </c>
      <c r="L13" s="29">
        <v>63</v>
      </c>
      <c r="M13" s="1"/>
      <c r="O13" s="1"/>
    </row>
    <row r="14" spans="1:15" ht="28.5" customHeight="1"/>
    <row r="15" spans="1:15" ht="28.5" customHeight="1">
      <c r="A15" s="1"/>
      <c r="B15" s="27"/>
      <c r="C15" s="27"/>
      <c r="D15" s="27"/>
      <c r="E15" s="27"/>
      <c r="F15" s="27"/>
      <c r="G15" s="28"/>
      <c r="H15" s="27"/>
      <c r="I15" s="27"/>
      <c r="J15" s="27"/>
      <c r="K15" s="27"/>
      <c r="L15" s="27"/>
      <c r="M15" s="1"/>
      <c r="O15" s="1"/>
    </row>
    <row r="16" spans="1:15" ht="28.5" customHeight="1">
      <c r="A16" s="1"/>
      <c r="B16" s="29"/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1"/>
      <c r="O16" s="1"/>
    </row>
    <row r="17" spans="1:15" ht="28.5" customHeight="1">
      <c r="A17" s="1"/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1"/>
      <c r="O17" s="1"/>
    </row>
    <row r="18" spans="1:15" ht="28.5" customHeight="1">
      <c r="A18" s="1"/>
      <c r="B18" s="29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1"/>
      <c r="O18" s="1"/>
    </row>
    <row r="19" spans="1:15" ht="28.5" customHeight="1">
      <c r="A19" s="1"/>
      <c r="B19" s="29"/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1"/>
      <c r="O19" s="1"/>
    </row>
    <row r="20" spans="1:15" ht="28.5" customHeight="1">
      <c r="A20" s="1"/>
      <c r="B20" s="29"/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1"/>
      <c r="O20" s="1"/>
    </row>
    <row r="21" spans="1:15" ht="28.5" customHeight="1"/>
  </sheetData>
  <phoneticPr fontId="20" type="noConversion"/>
  <pageMargins left="0.7" right="0.7" top="0.75" bottom="0.75" header="0.3" footer="0.3"/>
  <pageSetup paperSize="9" scale="88" orientation="portrait" r:id="rId1"/>
  <rowBreaks count="1" manualBreakCount="1">
    <brk id="21" max="13" man="1"/>
  </row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272B24A5-2C32-4744-ACF1-B2738088950D}">
            <xm:f>HLOOKUP(B2,Cards!$O$2:$DQ$2,1,FALSE)</xm:f>
            <x14:dxf>
              <font>
                <b val="0"/>
                <i/>
                <strike val="0"/>
                <color theme="5"/>
              </font>
            </x14:dxf>
          </x14:cfRule>
          <xm:sqref>B2:L20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O21"/>
  <sheetViews>
    <sheetView zoomScaleNormal="100" zoomScaleSheetLayoutView="70" workbookViewId="0">
      <selection activeCell="L15" sqref="B15:L20"/>
    </sheetView>
  </sheetViews>
  <sheetFormatPr defaultRowHeight="33.75"/>
  <cols>
    <col min="1" max="1" width="4.140625" customWidth="1"/>
    <col min="2" max="6" width="8.7109375" style="5" customWidth="1"/>
    <col min="7" max="7" width="3.140625" customWidth="1"/>
    <col min="8" max="12" width="8.7109375" style="5" customWidth="1"/>
    <col min="13" max="13" width="4.140625" customWidth="1"/>
    <col min="14" max="14" width="12.42578125" customWidth="1"/>
  </cols>
  <sheetData>
    <row r="1" spans="1:15" ht="28.5" customHeight="1">
      <c r="A1" s="3"/>
      <c r="B1" s="27" t="s">
        <v>0</v>
      </c>
      <c r="C1" s="27" t="s">
        <v>1</v>
      </c>
      <c r="D1" s="27" t="s">
        <v>2</v>
      </c>
      <c r="E1" s="27" t="s">
        <v>3</v>
      </c>
      <c r="F1" s="27" t="s">
        <v>4</v>
      </c>
      <c r="G1" s="28"/>
      <c r="H1" s="27" t="s">
        <v>0</v>
      </c>
      <c r="I1" s="27" t="s">
        <v>1</v>
      </c>
      <c r="J1" s="27" t="s">
        <v>2</v>
      </c>
      <c r="K1" s="27" t="s">
        <v>3</v>
      </c>
      <c r="L1" s="27" t="s">
        <v>4</v>
      </c>
      <c r="M1" s="3"/>
      <c r="N1" s="5" t="str">
        <f ca="1">MID(CELL("filename",A1),FIND("]",CELL("filename",A1))+1,255)</f>
        <v>1 (16)</v>
      </c>
      <c r="O1" s="3"/>
    </row>
    <row r="2" spans="1:15" ht="28.5" customHeight="1">
      <c r="A2" s="4"/>
      <c r="B2" s="29">
        <v>13</v>
      </c>
      <c r="C2" s="29">
        <v>19</v>
      </c>
      <c r="D2" s="29">
        <v>32</v>
      </c>
      <c r="E2" s="29">
        <v>47</v>
      </c>
      <c r="F2" s="29">
        <v>69</v>
      </c>
      <c r="G2" s="29"/>
      <c r="H2" s="29">
        <v>13</v>
      </c>
      <c r="I2" s="29">
        <v>19</v>
      </c>
      <c r="J2" s="29">
        <v>32</v>
      </c>
      <c r="K2" s="29">
        <v>47</v>
      </c>
      <c r="L2" s="29">
        <v>69</v>
      </c>
      <c r="M2" s="4"/>
      <c r="O2" s="4"/>
    </row>
    <row r="3" spans="1:15" ht="28.5" customHeight="1">
      <c r="A3" s="4"/>
      <c r="B3" s="29">
        <v>1</v>
      </c>
      <c r="C3" s="29">
        <v>28</v>
      </c>
      <c r="D3" s="29">
        <v>41</v>
      </c>
      <c r="E3" s="29">
        <v>50</v>
      </c>
      <c r="F3" s="29">
        <v>63</v>
      </c>
      <c r="G3" s="29"/>
      <c r="H3" s="29">
        <v>1</v>
      </c>
      <c r="I3" s="29">
        <v>28</v>
      </c>
      <c r="J3" s="29">
        <v>41</v>
      </c>
      <c r="K3" s="29">
        <v>50</v>
      </c>
      <c r="L3" s="29">
        <v>63</v>
      </c>
      <c r="M3" s="4"/>
      <c r="O3" s="4"/>
    </row>
    <row r="4" spans="1:15" ht="28.5" customHeight="1">
      <c r="A4" s="4"/>
      <c r="B4" s="29">
        <v>7</v>
      </c>
      <c r="C4" s="29">
        <v>27</v>
      </c>
      <c r="D4" s="29" t="s">
        <v>44</v>
      </c>
      <c r="E4" s="29">
        <v>48</v>
      </c>
      <c r="F4" s="29">
        <v>73</v>
      </c>
      <c r="G4" s="29"/>
      <c r="H4" s="29">
        <v>7</v>
      </c>
      <c r="I4" s="29">
        <v>27</v>
      </c>
      <c r="J4" s="29" t="s">
        <v>44</v>
      </c>
      <c r="K4" s="29">
        <v>48</v>
      </c>
      <c r="L4" s="29">
        <v>73</v>
      </c>
      <c r="M4" s="4"/>
      <c r="O4" s="4"/>
    </row>
    <row r="5" spans="1:15" ht="28.5" customHeight="1">
      <c r="A5" s="4"/>
      <c r="B5" s="29">
        <v>4</v>
      </c>
      <c r="C5" s="29">
        <v>22</v>
      </c>
      <c r="D5" s="29">
        <v>39</v>
      </c>
      <c r="E5" s="29">
        <v>46</v>
      </c>
      <c r="F5" s="29">
        <v>62</v>
      </c>
      <c r="G5" s="29"/>
      <c r="H5" s="29">
        <v>4</v>
      </c>
      <c r="I5" s="29">
        <v>22</v>
      </c>
      <c r="J5" s="29">
        <v>39</v>
      </c>
      <c r="K5" s="29">
        <v>46</v>
      </c>
      <c r="L5" s="29">
        <v>62</v>
      </c>
      <c r="M5" s="4"/>
      <c r="O5" s="4"/>
    </row>
    <row r="6" spans="1:15" ht="28.5" customHeight="1">
      <c r="A6" s="4"/>
      <c r="B6" s="29">
        <v>8</v>
      </c>
      <c r="C6" s="29">
        <v>30</v>
      </c>
      <c r="D6" s="29">
        <v>42</v>
      </c>
      <c r="E6" s="29">
        <v>55</v>
      </c>
      <c r="F6" s="29">
        <v>64</v>
      </c>
      <c r="G6" s="29"/>
      <c r="H6" s="29">
        <v>8</v>
      </c>
      <c r="I6" s="29">
        <v>30</v>
      </c>
      <c r="J6" s="29">
        <v>42</v>
      </c>
      <c r="K6" s="29">
        <v>55</v>
      </c>
      <c r="L6" s="29">
        <v>64</v>
      </c>
      <c r="M6" s="4"/>
      <c r="O6" s="4"/>
    </row>
    <row r="7" spans="1:15" ht="28.5" customHeight="1"/>
    <row r="8" spans="1:15" ht="28.5" customHeight="1">
      <c r="A8" s="1"/>
      <c r="B8" s="27" t="s">
        <v>0</v>
      </c>
      <c r="C8" s="27" t="s">
        <v>1</v>
      </c>
      <c r="D8" s="27" t="s">
        <v>2</v>
      </c>
      <c r="E8" s="27" t="s">
        <v>3</v>
      </c>
      <c r="F8" s="27" t="s">
        <v>4</v>
      </c>
      <c r="G8" s="28"/>
      <c r="H8" s="27" t="s">
        <v>0</v>
      </c>
      <c r="I8" s="27" t="s">
        <v>1</v>
      </c>
      <c r="J8" s="27" t="s">
        <v>2</v>
      </c>
      <c r="K8" s="27" t="s">
        <v>3</v>
      </c>
      <c r="L8" s="27" t="s">
        <v>4</v>
      </c>
      <c r="M8" s="1"/>
      <c r="O8" s="1"/>
    </row>
    <row r="9" spans="1:15" ht="28.5" customHeight="1">
      <c r="A9" s="1"/>
      <c r="B9" s="29">
        <v>9</v>
      </c>
      <c r="C9" s="29">
        <v>16</v>
      </c>
      <c r="D9" s="29">
        <v>41</v>
      </c>
      <c r="E9" s="29">
        <v>48</v>
      </c>
      <c r="F9" s="29">
        <v>62</v>
      </c>
      <c r="G9" s="29"/>
      <c r="H9" s="29">
        <v>9</v>
      </c>
      <c r="I9" s="29">
        <v>16</v>
      </c>
      <c r="J9" s="29">
        <v>41</v>
      </c>
      <c r="K9" s="29">
        <v>48</v>
      </c>
      <c r="L9" s="29">
        <v>62</v>
      </c>
      <c r="M9" s="1"/>
      <c r="O9" s="1"/>
    </row>
    <row r="10" spans="1:15" ht="28.5" customHeight="1">
      <c r="A10" s="1"/>
      <c r="B10" s="29">
        <v>2</v>
      </c>
      <c r="C10" s="29">
        <v>24</v>
      </c>
      <c r="D10" s="29">
        <v>37</v>
      </c>
      <c r="E10" s="29">
        <v>53</v>
      </c>
      <c r="F10" s="29">
        <v>71</v>
      </c>
      <c r="G10" s="29"/>
      <c r="H10" s="29">
        <v>2</v>
      </c>
      <c r="I10" s="29">
        <v>24</v>
      </c>
      <c r="J10" s="29">
        <v>37</v>
      </c>
      <c r="K10" s="29">
        <v>53</v>
      </c>
      <c r="L10" s="29">
        <v>71</v>
      </c>
      <c r="M10" s="1"/>
      <c r="O10" s="1"/>
    </row>
    <row r="11" spans="1:15" ht="28.5" customHeight="1">
      <c r="A11" s="1"/>
      <c r="B11" s="29">
        <v>8</v>
      </c>
      <c r="C11" s="29">
        <v>21</v>
      </c>
      <c r="D11" s="29" t="s">
        <v>44</v>
      </c>
      <c r="E11" s="29">
        <v>49</v>
      </c>
      <c r="F11" s="29">
        <v>69</v>
      </c>
      <c r="G11" s="29"/>
      <c r="H11" s="29">
        <v>8</v>
      </c>
      <c r="I11" s="29">
        <v>21</v>
      </c>
      <c r="J11" s="29" t="s">
        <v>44</v>
      </c>
      <c r="K11" s="29">
        <v>49</v>
      </c>
      <c r="L11" s="29">
        <v>69</v>
      </c>
      <c r="M11" s="1"/>
      <c r="O11" s="1"/>
    </row>
    <row r="12" spans="1:15" ht="28.5" customHeight="1">
      <c r="A12" s="1"/>
      <c r="B12" s="29">
        <v>5</v>
      </c>
      <c r="C12" s="29">
        <v>29</v>
      </c>
      <c r="D12" s="29">
        <v>42</v>
      </c>
      <c r="E12" s="29">
        <v>47</v>
      </c>
      <c r="F12" s="29">
        <v>72</v>
      </c>
      <c r="G12" s="29"/>
      <c r="H12" s="29">
        <v>5</v>
      </c>
      <c r="I12" s="29">
        <v>29</v>
      </c>
      <c r="J12" s="29">
        <v>42</v>
      </c>
      <c r="K12" s="29">
        <v>47</v>
      </c>
      <c r="L12" s="29">
        <v>72</v>
      </c>
      <c r="M12" s="1"/>
      <c r="O12" s="1"/>
    </row>
    <row r="13" spans="1:15" ht="28.5" customHeight="1">
      <c r="A13" s="1"/>
      <c r="B13" s="29">
        <v>4</v>
      </c>
      <c r="C13" s="29">
        <v>30</v>
      </c>
      <c r="D13" s="29">
        <v>32</v>
      </c>
      <c r="E13" s="29">
        <v>59</v>
      </c>
      <c r="F13" s="29">
        <v>70</v>
      </c>
      <c r="G13" s="29"/>
      <c r="H13" s="29">
        <v>4</v>
      </c>
      <c r="I13" s="29">
        <v>30</v>
      </c>
      <c r="J13" s="29">
        <v>32</v>
      </c>
      <c r="K13" s="29">
        <v>59</v>
      </c>
      <c r="L13" s="29">
        <v>70</v>
      </c>
      <c r="M13" s="1"/>
      <c r="O13" s="1"/>
    </row>
    <row r="14" spans="1:15" ht="28.5" customHeight="1"/>
    <row r="15" spans="1:15" ht="28.5" customHeight="1">
      <c r="A15" s="1"/>
      <c r="B15" s="27"/>
      <c r="C15" s="27"/>
      <c r="D15" s="27"/>
      <c r="E15" s="27"/>
      <c r="F15" s="27"/>
      <c r="G15" s="28"/>
      <c r="H15" s="27"/>
      <c r="I15" s="27"/>
      <c r="J15" s="27"/>
      <c r="K15" s="27"/>
      <c r="L15" s="27"/>
      <c r="M15" s="1"/>
      <c r="O15" s="1"/>
    </row>
    <row r="16" spans="1:15" ht="28.5" customHeight="1">
      <c r="A16" s="1"/>
      <c r="B16" s="29"/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1"/>
      <c r="O16" s="1"/>
    </row>
    <row r="17" spans="1:15" ht="28.5" customHeight="1">
      <c r="A17" s="1"/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1"/>
      <c r="O17" s="1"/>
    </row>
    <row r="18" spans="1:15" ht="28.5" customHeight="1">
      <c r="A18" s="1"/>
      <c r="B18" s="29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1"/>
      <c r="O18" s="1"/>
    </row>
    <row r="19" spans="1:15" ht="28.5" customHeight="1">
      <c r="A19" s="1"/>
      <c r="B19" s="29"/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1"/>
      <c r="O19" s="1"/>
    </row>
    <row r="20" spans="1:15" ht="28.5" customHeight="1">
      <c r="A20" s="1"/>
      <c r="B20" s="29"/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1"/>
      <c r="O20" s="1"/>
    </row>
    <row r="21" spans="1:15" ht="28.5" customHeight="1"/>
  </sheetData>
  <phoneticPr fontId="20" type="noConversion"/>
  <pageMargins left="0.7" right="0.7" top="0.75" bottom="0.75" header="0.3" footer="0.3"/>
  <pageSetup paperSize="9" scale="88" orientation="portrait" r:id="rId1"/>
  <rowBreaks count="1" manualBreakCount="1">
    <brk id="21" max="13" man="1"/>
  </row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B49E763D-F264-4983-9EF3-762DD5DF0E5B}">
            <xm:f>HLOOKUP(B2,Cards!$O$2:$DQ$2,1,FALSE)</xm:f>
            <x14:dxf>
              <font>
                <b val="0"/>
                <i/>
                <strike val="0"/>
                <color theme="5"/>
              </font>
            </x14:dxf>
          </x14:cfRule>
          <xm:sqref>B2:L20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O21"/>
  <sheetViews>
    <sheetView zoomScaleNormal="100" zoomScaleSheetLayoutView="70" workbookViewId="0">
      <selection activeCell="L15" sqref="B15:L20"/>
    </sheetView>
  </sheetViews>
  <sheetFormatPr defaultRowHeight="33.75"/>
  <cols>
    <col min="1" max="1" width="4.140625" customWidth="1"/>
    <col min="2" max="6" width="8.7109375" style="5" customWidth="1"/>
    <col min="7" max="7" width="3.140625" customWidth="1"/>
    <col min="8" max="12" width="8.7109375" style="5" customWidth="1"/>
    <col min="13" max="13" width="4.140625" customWidth="1"/>
    <col min="14" max="14" width="12.140625" customWidth="1"/>
  </cols>
  <sheetData>
    <row r="1" spans="1:15" ht="28.5" customHeight="1">
      <c r="A1" s="3"/>
      <c r="B1" s="27" t="s">
        <v>0</v>
      </c>
      <c r="C1" s="27" t="s">
        <v>1</v>
      </c>
      <c r="D1" s="27" t="s">
        <v>2</v>
      </c>
      <c r="E1" s="27" t="s">
        <v>3</v>
      </c>
      <c r="F1" s="27" t="s">
        <v>4</v>
      </c>
      <c r="G1" s="28"/>
      <c r="H1" s="27" t="s">
        <v>0</v>
      </c>
      <c r="I1" s="27" t="s">
        <v>1</v>
      </c>
      <c r="J1" s="27" t="s">
        <v>2</v>
      </c>
      <c r="K1" s="27" t="s">
        <v>3</v>
      </c>
      <c r="L1" s="27" t="s">
        <v>4</v>
      </c>
      <c r="M1" s="3"/>
      <c r="N1" s="5" t="str">
        <f ca="1">MID(CELL("filename",A1),FIND("]",CELL("filename",A1))+1,255)</f>
        <v>1 (17)</v>
      </c>
      <c r="O1" s="3"/>
    </row>
    <row r="2" spans="1:15" ht="28.5" customHeight="1">
      <c r="A2" s="4"/>
      <c r="B2" s="29">
        <v>14</v>
      </c>
      <c r="C2" s="29">
        <v>29</v>
      </c>
      <c r="D2" s="29">
        <v>40</v>
      </c>
      <c r="E2" s="29">
        <v>51</v>
      </c>
      <c r="F2" s="29">
        <v>62</v>
      </c>
      <c r="G2" s="29"/>
      <c r="H2" s="29">
        <v>14</v>
      </c>
      <c r="I2" s="29">
        <v>29</v>
      </c>
      <c r="J2" s="29">
        <v>40</v>
      </c>
      <c r="K2" s="29">
        <v>51</v>
      </c>
      <c r="L2" s="29">
        <v>62</v>
      </c>
      <c r="M2" s="4"/>
      <c r="O2" s="4"/>
    </row>
    <row r="3" spans="1:15" ht="28.5" customHeight="1">
      <c r="A3" s="4"/>
      <c r="B3" s="29">
        <v>10</v>
      </c>
      <c r="C3" s="29">
        <v>25</v>
      </c>
      <c r="D3" s="29">
        <v>35</v>
      </c>
      <c r="E3" s="29">
        <v>49</v>
      </c>
      <c r="F3" s="29">
        <v>72</v>
      </c>
      <c r="G3" s="29"/>
      <c r="H3" s="29">
        <v>10</v>
      </c>
      <c r="I3" s="29">
        <v>25</v>
      </c>
      <c r="J3" s="29">
        <v>35</v>
      </c>
      <c r="K3" s="29">
        <v>49</v>
      </c>
      <c r="L3" s="29">
        <v>72</v>
      </c>
      <c r="M3" s="4"/>
      <c r="O3" s="4"/>
    </row>
    <row r="4" spans="1:15" ht="28.5" customHeight="1">
      <c r="A4" s="4"/>
      <c r="B4" s="29">
        <v>15</v>
      </c>
      <c r="C4" s="29">
        <v>17</v>
      </c>
      <c r="D4" s="29" t="s">
        <v>44</v>
      </c>
      <c r="E4" s="29">
        <v>60</v>
      </c>
      <c r="F4" s="29">
        <v>67</v>
      </c>
      <c r="G4" s="29"/>
      <c r="H4" s="29">
        <v>15</v>
      </c>
      <c r="I4" s="29">
        <v>17</v>
      </c>
      <c r="J4" s="29" t="s">
        <v>44</v>
      </c>
      <c r="K4" s="29">
        <v>60</v>
      </c>
      <c r="L4" s="29">
        <v>67</v>
      </c>
      <c r="M4" s="4"/>
      <c r="O4" s="4"/>
    </row>
    <row r="5" spans="1:15" ht="28.5" customHeight="1">
      <c r="A5" s="4"/>
      <c r="B5" s="29">
        <v>13</v>
      </c>
      <c r="C5" s="29">
        <v>28</v>
      </c>
      <c r="D5" s="29">
        <v>39</v>
      </c>
      <c r="E5" s="29">
        <v>57</v>
      </c>
      <c r="F5" s="29">
        <v>63</v>
      </c>
      <c r="G5" s="29"/>
      <c r="H5" s="29">
        <v>13</v>
      </c>
      <c r="I5" s="29">
        <v>28</v>
      </c>
      <c r="J5" s="29">
        <v>39</v>
      </c>
      <c r="K5" s="29">
        <v>57</v>
      </c>
      <c r="L5" s="29">
        <v>63</v>
      </c>
      <c r="M5" s="4"/>
      <c r="O5" s="4"/>
    </row>
    <row r="6" spans="1:15" ht="28.5" customHeight="1">
      <c r="A6" s="4"/>
      <c r="B6" s="29">
        <v>4</v>
      </c>
      <c r="C6" s="29">
        <v>18</v>
      </c>
      <c r="D6" s="29">
        <v>43</v>
      </c>
      <c r="E6" s="29">
        <v>46</v>
      </c>
      <c r="F6" s="29">
        <v>69</v>
      </c>
      <c r="G6" s="29"/>
      <c r="H6" s="29">
        <v>4</v>
      </c>
      <c r="I6" s="29">
        <v>18</v>
      </c>
      <c r="J6" s="29">
        <v>43</v>
      </c>
      <c r="K6" s="29">
        <v>46</v>
      </c>
      <c r="L6" s="29">
        <v>69</v>
      </c>
      <c r="M6" s="4"/>
      <c r="O6" s="4"/>
    </row>
    <row r="7" spans="1:15" ht="28.5" customHeight="1"/>
    <row r="8" spans="1:15" ht="28.5" customHeight="1">
      <c r="A8" s="1"/>
      <c r="B8" s="27" t="s">
        <v>0</v>
      </c>
      <c r="C8" s="27" t="s">
        <v>1</v>
      </c>
      <c r="D8" s="27" t="s">
        <v>2</v>
      </c>
      <c r="E8" s="27" t="s">
        <v>3</v>
      </c>
      <c r="F8" s="27" t="s">
        <v>4</v>
      </c>
      <c r="G8" s="28"/>
      <c r="H8" s="27" t="s">
        <v>0</v>
      </c>
      <c r="I8" s="27" t="s">
        <v>1</v>
      </c>
      <c r="J8" s="27" t="s">
        <v>2</v>
      </c>
      <c r="K8" s="27" t="s">
        <v>3</v>
      </c>
      <c r="L8" s="27" t="s">
        <v>4</v>
      </c>
      <c r="M8" s="1"/>
      <c r="O8" s="1"/>
    </row>
    <row r="9" spans="1:15" ht="28.5" customHeight="1">
      <c r="A9" s="1"/>
      <c r="B9" s="29">
        <v>7</v>
      </c>
      <c r="C9" s="29">
        <v>30</v>
      </c>
      <c r="D9" s="29">
        <v>38</v>
      </c>
      <c r="E9" s="29">
        <v>49</v>
      </c>
      <c r="F9" s="29">
        <v>72</v>
      </c>
      <c r="G9" s="29"/>
      <c r="H9" s="29">
        <v>7</v>
      </c>
      <c r="I9" s="29">
        <v>30</v>
      </c>
      <c r="J9" s="29">
        <v>38</v>
      </c>
      <c r="K9" s="29">
        <v>49</v>
      </c>
      <c r="L9" s="29">
        <v>72</v>
      </c>
      <c r="M9" s="1"/>
      <c r="O9" s="1"/>
    </row>
    <row r="10" spans="1:15" ht="28.5" customHeight="1">
      <c r="A10" s="1"/>
      <c r="B10" s="29">
        <v>10</v>
      </c>
      <c r="C10" s="29">
        <v>21</v>
      </c>
      <c r="D10" s="29">
        <v>45</v>
      </c>
      <c r="E10" s="29">
        <v>59</v>
      </c>
      <c r="F10" s="29">
        <v>68</v>
      </c>
      <c r="G10" s="29"/>
      <c r="H10" s="29">
        <v>10</v>
      </c>
      <c r="I10" s="29">
        <v>21</v>
      </c>
      <c r="J10" s="29">
        <v>45</v>
      </c>
      <c r="K10" s="29">
        <v>59</v>
      </c>
      <c r="L10" s="29">
        <v>68</v>
      </c>
      <c r="M10" s="1"/>
      <c r="O10" s="1"/>
    </row>
    <row r="11" spans="1:15" ht="28.5" customHeight="1">
      <c r="A11" s="1"/>
      <c r="B11" s="29">
        <v>15</v>
      </c>
      <c r="C11" s="29">
        <v>24</v>
      </c>
      <c r="D11" s="29" t="s">
        <v>44</v>
      </c>
      <c r="E11" s="29">
        <v>57</v>
      </c>
      <c r="F11" s="29">
        <v>62</v>
      </c>
      <c r="G11" s="29"/>
      <c r="H11" s="29">
        <v>15</v>
      </c>
      <c r="I11" s="29">
        <v>24</v>
      </c>
      <c r="J11" s="29" t="s">
        <v>44</v>
      </c>
      <c r="K11" s="29">
        <v>57</v>
      </c>
      <c r="L11" s="29">
        <v>62</v>
      </c>
      <c r="M11" s="1"/>
      <c r="O11" s="1"/>
    </row>
    <row r="12" spans="1:15" ht="28.5" customHeight="1">
      <c r="A12" s="1"/>
      <c r="B12" s="29">
        <v>13</v>
      </c>
      <c r="C12" s="29">
        <v>16</v>
      </c>
      <c r="D12" s="29">
        <v>39</v>
      </c>
      <c r="E12" s="29">
        <v>46</v>
      </c>
      <c r="F12" s="29">
        <v>71</v>
      </c>
      <c r="G12" s="29"/>
      <c r="H12" s="29">
        <v>13</v>
      </c>
      <c r="I12" s="29">
        <v>16</v>
      </c>
      <c r="J12" s="29">
        <v>39</v>
      </c>
      <c r="K12" s="29">
        <v>46</v>
      </c>
      <c r="L12" s="29">
        <v>71</v>
      </c>
      <c r="M12" s="1"/>
      <c r="O12" s="1"/>
    </row>
    <row r="13" spans="1:15" ht="28.5" customHeight="1">
      <c r="A13" s="1"/>
      <c r="B13" s="29">
        <v>8</v>
      </c>
      <c r="C13" s="29">
        <v>23</v>
      </c>
      <c r="D13" s="29">
        <v>42</v>
      </c>
      <c r="E13" s="29">
        <v>53</v>
      </c>
      <c r="F13" s="29">
        <v>74</v>
      </c>
      <c r="G13" s="29"/>
      <c r="H13" s="29">
        <v>8</v>
      </c>
      <c r="I13" s="29">
        <v>23</v>
      </c>
      <c r="J13" s="29">
        <v>42</v>
      </c>
      <c r="K13" s="29">
        <v>53</v>
      </c>
      <c r="L13" s="29">
        <v>74</v>
      </c>
      <c r="M13" s="1"/>
      <c r="O13" s="1"/>
    </row>
    <row r="14" spans="1:15" ht="28.5" customHeight="1"/>
    <row r="15" spans="1:15" ht="28.5" customHeight="1">
      <c r="A15" s="1"/>
      <c r="B15" s="27"/>
      <c r="C15" s="27"/>
      <c r="D15" s="27"/>
      <c r="E15" s="27"/>
      <c r="F15" s="27"/>
      <c r="G15" s="28"/>
      <c r="H15" s="27"/>
      <c r="I15" s="27"/>
      <c r="J15" s="27"/>
      <c r="K15" s="27"/>
      <c r="L15" s="27"/>
      <c r="M15" s="1"/>
      <c r="O15" s="1"/>
    </row>
    <row r="16" spans="1:15" ht="28.5" customHeight="1">
      <c r="A16" s="1"/>
      <c r="B16" s="29"/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1"/>
      <c r="O16" s="1"/>
    </row>
    <row r="17" spans="1:15" ht="28.5" customHeight="1">
      <c r="A17" s="1"/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1"/>
      <c r="O17" s="1"/>
    </row>
    <row r="18" spans="1:15" ht="28.5" customHeight="1">
      <c r="A18" s="1"/>
      <c r="B18" s="29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1"/>
      <c r="O18" s="1"/>
    </row>
    <row r="19" spans="1:15" ht="28.5" customHeight="1">
      <c r="A19" s="1"/>
      <c r="B19" s="29"/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1"/>
      <c r="O19" s="1"/>
    </row>
    <row r="20" spans="1:15" ht="28.5" customHeight="1">
      <c r="A20" s="1"/>
      <c r="B20" s="29"/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1"/>
      <c r="O20" s="1"/>
    </row>
    <row r="21" spans="1:15" ht="28.5" customHeight="1"/>
  </sheetData>
  <phoneticPr fontId="20" type="noConversion"/>
  <pageMargins left="0.7" right="0.7" top="0.75" bottom="0.75" header="0.3" footer="0.3"/>
  <pageSetup paperSize="9" scale="88" orientation="portrait" r:id="rId1"/>
  <rowBreaks count="1" manualBreakCount="1">
    <brk id="21" max="13" man="1"/>
  </row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1601CFB4-3346-4078-A6ED-8B36B136FC9F}">
            <xm:f>HLOOKUP(B2,Cards!$O$2:$DQ$2,1,FALSE)</xm:f>
            <x14:dxf>
              <font>
                <b val="0"/>
                <i/>
                <strike val="0"/>
                <color theme="5"/>
              </font>
            </x14:dxf>
          </x14:cfRule>
          <xm:sqref>B2:L20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O21"/>
  <sheetViews>
    <sheetView zoomScaleNormal="100" zoomScaleSheetLayoutView="70" workbookViewId="0">
      <selection activeCell="L15" sqref="B15:L20"/>
    </sheetView>
  </sheetViews>
  <sheetFormatPr defaultRowHeight="33.75"/>
  <cols>
    <col min="1" max="1" width="4.140625" customWidth="1"/>
    <col min="2" max="6" width="8.7109375" style="5" customWidth="1"/>
    <col min="7" max="7" width="3.140625" customWidth="1"/>
    <col min="8" max="12" width="8.7109375" style="5" customWidth="1"/>
    <col min="13" max="13" width="4.140625" customWidth="1"/>
    <col min="14" max="14" width="13.42578125" customWidth="1"/>
  </cols>
  <sheetData>
    <row r="1" spans="1:15" ht="28.5" customHeight="1">
      <c r="A1" s="3"/>
      <c r="B1" s="27" t="s">
        <v>0</v>
      </c>
      <c r="C1" s="27" t="s">
        <v>1</v>
      </c>
      <c r="D1" s="27" t="s">
        <v>2</v>
      </c>
      <c r="E1" s="27" t="s">
        <v>3</v>
      </c>
      <c r="F1" s="27" t="s">
        <v>4</v>
      </c>
      <c r="G1" s="28"/>
      <c r="H1" s="27" t="s">
        <v>0</v>
      </c>
      <c r="I1" s="27" t="s">
        <v>1</v>
      </c>
      <c r="J1" s="27" t="s">
        <v>2</v>
      </c>
      <c r="K1" s="27" t="s">
        <v>3</v>
      </c>
      <c r="L1" s="27" t="s">
        <v>4</v>
      </c>
      <c r="M1" s="3"/>
      <c r="N1" s="5" t="str">
        <f ca="1">MID(CELL("filename",A1),FIND("]",CELL("filename",A1))+1,255)</f>
        <v>1 (18)</v>
      </c>
      <c r="O1" s="3"/>
    </row>
    <row r="2" spans="1:15" ht="28.5" customHeight="1">
      <c r="A2" s="4"/>
      <c r="B2" s="29">
        <v>11</v>
      </c>
      <c r="C2" s="29">
        <v>23</v>
      </c>
      <c r="D2" s="29">
        <v>41</v>
      </c>
      <c r="E2" s="29">
        <v>55</v>
      </c>
      <c r="F2" s="29">
        <v>65</v>
      </c>
      <c r="G2" s="29"/>
      <c r="H2" s="29">
        <v>11</v>
      </c>
      <c r="I2" s="29">
        <v>23</v>
      </c>
      <c r="J2" s="29">
        <v>41</v>
      </c>
      <c r="K2" s="29">
        <v>55</v>
      </c>
      <c r="L2" s="29">
        <v>65</v>
      </c>
      <c r="M2" s="4"/>
      <c r="O2" s="4"/>
    </row>
    <row r="3" spans="1:15" ht="28.5" customHeight="1">
      <c r="A3" s="4"/>
      <c r="B3" s="29">
        <v>3</v>
      </c>
      <c r="C3" s="29">
        <v>17</v>
      </c>
      <c r="D3" s="29">
        <v>35</v>
      </c>
      <c r="E3" s="29">
        <v>49</v>
      </c>
      <c r="F3" s="29">
        <v>73</v>
      </c>
      <c r="G3" s="29"/>
      <c r="H3" s="29">
        <v>3</v>
      </c>
      <c r="I3" s="29">
        <v>17</v>
      </c>
      <c r="J3" s="29">
        <v>35</v>
      </c>
      <c r="K3" s="29">
        <v>49</v>
      </c>
      <c r="L3" s="29">
        <v>73</v>
      </c>
      <c r="M3" s="4"/>
      <c r="O3" s="4"/>
    </row>
    <row r="4" spans="1:15" ht="28.5" customHeight="1">
      <c r="A4" s="4"/>
      <c r="B4" s="29">
        <v>13</v>
      </c>
      <c r="C4" s="29">
        <v>16</v>
      </c>
      <c r="D4" s="29" t="s">
        <v>44</v>
      </c>
      <c r="E4" s="29">
        <v>48</v>
      </c>
      <c r="F4" s="29">
        <v>70</v>
      </c>
      <c r="G4" s="29"/>
      <c r="H4" s="29">
        <v>13</v>
      </c>
      <c r="I4" s="29">
        <v>16</v>
      </c>
      <c r="J4" s="29" t="s">
        <v>44</v>
      </c>
      <c r="K4" s="29">
        <v>48</v>
      </c>
      <c r="L4" s="29">
        <v>70</v>
      </c>
      <c r="M4" s="4"/>
      <c r="O4" s="4"/>
    </row>
    <row r="5" spans="1:15" ht="28.5" customHeight="1">
      <c r="A5" s="4"/>
      <c r="B5" s="29">
        <v>10</v>
      </c>
      <c r="C5" s="29">
        <v>25</v>
      </c>
      <c r="D5" s="29">
        <v>37</v>
      </c>
      <c r="E5" s="29">
        <v>56</v>
      </c>
      <c r="F5" s="29">
        <v>74</v>
      </c>
      <c r="G5" s="29"/>
      <c r="H5" s="29">
        <v>10</v>
      </c>
      <c r="I5" s="29">
        <v>25</v>
      </c>
      <c r="J5" s="29">
        <v>37</v>
      </c>
      <c r="K5" s="29">
        <v>56</v>
      </c>
      <c r="L5" s="29">
        <v>74</v>
      </c>
      <c r="M5" s="4"/>
      <c r="O5" s="4"/>
    </row>
    <row r="6" spans="1:15" ht="28.5" customHeight="1">
      <c r="A6" s="4"/>
      <c r="B6" s="29">
        <v>7</v>
      </c>
      <c r="C6" s="29">
        <v>21</v>
      </c>
      <c r="D6" s="29">
        <v>45</v>
      </c>
      <c r="E6" s="29">
        <v>59</v>
      </c>
      <c r="F6" s="29">
        <v>63</v>
      </c>
      <c r="G6" s="29"/>
      <c r="H6" s="29">
        <v>7</v>
      </c>
      <c r="I6" s="29">
        <v>21</v>
      </c>
      <c r="J6" s="29">
        <v>45</v>
      </c>
      <c r="K6" s="29">
        <v>59</v>
      </c>
      <c r="L6" s="29">
        <v>63</v>
      </c>
      <c r="M6" s="4"/>
      <c r="O6" s="4"/>
    </row>
    <row r="7" spans="1:15" ht="28.5" customHeight="1"/>
    <row r="8" spans="1:15" ht="28.5" customHeight="1">
      <c r="A8" s="1"/>
      <c r="B8" s="27" t="s">
        <v>0</v>
      </c>
      <c r="C8" s="27" t="s">
        <v>1</v>
      </c>
      <c r="D8" s="27" t="s">
        <v>2</v>
      </c>
      <c r="E8" s="27" t="s">
        <v>3</v>
      </c>
      <c r="F8" s="27" t="s">
        <v>4</v>
      </c>
      <c r="G8" s="28"/>
      <c r="H8" s="27" t="s">
        <v>0</v>
      </c>
      <c r="I8" s="27" t="s">
        <v>1</v>
      </c>
      <c r="J8" s="27" t="s">
        <v>2</v>
      </c>
      <c r="K8" s="27" t="s">
        <v>3</v>
      </c>
      <c r="L8" s="27" t="s">
        <v>4</v>
      </c>
      <c r="M8" s="1"/>
      <c r="O8" s="1"/>
    </row>
    <row r="9" spans="1:15" ht="28.5" customHeight="1">
      <c r="A9" s="1"/>
      <c r="B9" s="29">
        <v>12</v>
      </c>
      <c r="C9" s="29">
        <v>24</v>
      </c>
      <c r="D9" s="29">
        <v>35</v>
      </c>
      <c r="E9" s="29">
        <v>51</v>
      </c>
      <c r="F9" s="29">
        <v>64</v>
      </c>
      <c r="G9" s="29"/>
      <c r="H9" s="29">
        <v>12</v>
      </c>
      <c r="I9" s="29">
        <v>24</v>
      </c>
      <c r="J9" s="29">
        <v>35</v>
      </c>
      <c r="K9" s="29">
        <v>51</v>
      </c>
      <c r="L9" s="29">
        <v>64</v>
      </c>
      <c r="M9" s="1"/>
      <c r="O9" s="1"/>
    </row>
    <row r="10" spans="1:15" ht="28.5" customHeight="1">
      <c r="A10" s="1"/>
      <c r="B10" s="29">
        <v>14</v>
      </c>
      <c r="C10" s="29">
        <v>28</v>
      </c>
      <c r="D10" s="29">
        <v>41</v>
      </c>
      <c r="E10" s="29">
        <v>57</v>
      </c>
      <c r="F10" s="29">
        <v>68</v>
      </c>
      <c r="G10" s="29"/>
      <c r="H10" s="29">
        <v>14</v>
      </c>
      <c r="I10" s="29">
        <v>28</v>
      </c>
      <c r="J10" s="29">
        <v>41</v>
      </c>
      <c r="K10" s="29">
        <v>57</v>
      </c>
      <c r="L10" s="29">
        <v>68</v>
      </c>
      <c r="M10" s="1"/>
      <c r="O10" s="1"/>
    </row>
    <row r="11" spans="1:15" ht="28.5" customHeight="1">
      <c r="A11" s="1"/>
      <c r="B11" s="29">
        <v>10</v>
      </c>
      <c r="C11" s="29">
        <v>26</v>
      </c>
      <c r="D11" s="29" t="s">
        <v>44</v>
      </c>
      <c r="E11" s="29">
        <v>60</v>
      </c>
      <c r="F11" s="29">
        <v>72</v>
      </c>
      <c r="G11" s="29"/>
      <c r="H11" s="29">
        <v>10</v>
      </c>
      <c r="I11" s="29">
        <v>26</v>
      </c>
      <c r="J11" s="29" t="s">
        <v>44</v>
      </c>
      <c r="K11" s="29">
        <v>60</v>
      </c>
      <c r="L11" s="29">
        <v>72</v>
      </c>
      <c r="M11" s="1"/>
      <c r="O11" s="1"/>
    </row>
    <row r="12" spans="1:15" ht="28.5" customHeight="1">
      <c r="A12" s="1"/>
      <c r="B12" s="29">
        <v>7</v>
      </c>
      <c r="C12" s="29">
        <v>29</v>
      </c>
      <c r="D12" s="29">
        <v>36</v>
      </c>
      <c r="E12" s="29">
        <v>46</v>
      </c>
      <c r="F12" s="29">
        <v>63</v>
      </c>
      <c r="G12" s="29"/>
      <c r="H12" s="29">
        <v>7</v>
      </c>
      <c r="I12" s="29">
        <v>29</v>
      </c>
      <c r="J12" s="29">
        <v>36</v>
      </c>
      <c r="K12" s="29">
        <v>46</v>
      </c>
      <c r="L12" s="29">
        <v>63</v>
      </c>
      <c r="M12" s="1"/>
      <c r="O12" s="1"/>
    </row>
    <row r="13" spans="1:15" ht="28.5" customHeight="1">
      <c r="A13" s="1"/>
      <c r="B13" s="29">
        <v>1</v>
      </c>
      <c r="C13" s="29">
        <v>20</v>
      </c>
      <c r="D13" s="29">
        <v>37</v>
      </c>
      <c r="E13" s="29">
        <v>49</v>
      </c>
      <c r="F13" s="29">
        <v>62</v>
      </c>
      <c r="G13" s="29"/>
      <c r="H13" s="29">
        <v>1</v>
      </c>
      <c r="I13" s="29">
        <v>20</v>
      </c>
      <c r="J13" s="29">
        <v>37</v>
      </c>
      <c r="K13" s="29">
        <v>49</v>
      </c>
      <c r="L13" s="29">
        <v>62</v>
      </c>
      <c r="M13" s="1"/>
      <c r="O13" s="1"/>
    </row>
    <row r="14" spans="1:15" ht="28.5" customHeight="1"/>
    <row r="15" spans="1:15" ht="28.5" customHeight="1">
      <c r="A15" s="1"/>
      <c r="B15" s="27"/>
      <c r="C15" s="27"/>
      <c r="D15" s="27"/>
      <c r="E15" s="27"/>
      <c r="F15" s="27"/>
      <c r="G15" s="28"/>
      <c r="H15" s="27"/>
      <c r="I15" s="27"/>
      <c r="J15" s="27"/>
      <c r="K15" s="27"/>
      <c r="L15" s="27"/>
      <c r="M15" s="1"/>
      <c r="O15" s="1"/>
    </row>
    <row r="16" spans="1:15" ht="28.5" customHeight="1">
      <c r="A16" s="1"/>
      <c r="B16" s="29"/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1"/>
      <c r="O16" s="1"/>
    </row>
    <row r="17" spans="1:15" ht="28.5" customHeight="1">
      <c r="A17" s="1"/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1"/>
      <c r="O17" s="1"/>
    </row>
    <row r="18" spans="1:15" ht="28.5" customHeight="1">
      <c r="A18" s="1"/>
      <c r="B18" s="29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1"/>
      <c r="O18" s="1"/>
    </row>
    <row r="19" spans="1:15" ht="28.5" customHeight="1">
      <c r="A19" s="1"/>
      <c r="B19" s="29"/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1"/>
      <c r="O19" s="1"/>
    </row>
    <row r="20" spans="1:15" ht="28.5" customHeight="1">
      <c r="A20" s="1"/>
      <c r="B20" s="29"/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1"/>
      <c r="O20" s="1"/>
    </row>
    <row r="21" spans="1:15" ht="28.5" customHeight="1"/>
  </sheetData>
  <phoneticPr fontId="20" type="noConversion"/>
  <pageMargins left="0.7" right="0.7" top="0.75" bottom="0.75" header="0.3" footer="0.3"/>
  <pageSetup paperSize="9" scale="87" orientation="portrait" r:id="rId1"/>
  <rowBreaks count="1" manualBreakCount="1">
    <brk id="21" max="13" man="1"/>
  </row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A19F195B-82B8-44A7-852B-8382601F74E7}">
            <xm:f>HLOOKUP(B2,Cards!$O$2:$DQ$2,1,FALSE)</xm:f>
            <x14:dxf>
              <font>
                <b val="0"/>
                <i/>
                <strike val="0"/>
                <color theme="5"/>
              </font>
            </x14:dxf>
          </x14:cfRule>
          <xm:sqref>B2:L20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O21"/>
  <sheetViews>
    <sheetView zoomScaleNormal="100" zoomScaleSheetLayoutView="70" workbookViewId="0">
      <selection activeCell="L15" sqref="B15:L20"/>
    </sheetView>
  </sheetViews>
  <sheetFormatPr defaultRowHeight="33.75"/>
  <cols>
    <col min="1" max="1" width="4.140625" customWidth="1"/>
    <col min="2" max="6" width="8.7109375" style="5" customWidth="1"/>
    <col min="7" max="7" width="3.140625" customWidth="1"/>
    <col min="8" max="12" width="8.7109375" style="5" customWidth="1"/>
    <col min="13" max="13" width="4.140625" customWidth="1"/>
    <col min="14" max="14" width="12.7109375" customWidth="1"/>
  </cols>
  <sheetData>
    <row r="1" spans="1:15" ht="28.5" customHeight="1">
      <c r="A1" s="3"/>
      <c r="B1" s="27" t="s">
        <v>0</v>
      </c>
      <c r="C1" s="27" t="s">
        <v>1</v>
      </c>
      <c r="D1" s="27" t="s">
        <v>2</v>
      </c>
      <c r="E1" s="27" t="s">
        <v>3</v>
      </c>
      <c r="F1" s="27" t="s">
        <v>4</v>
      </c>
      <c r="G1" s="28"/>
      <c r="H1" s="27" t="s">
        <v>0</v>
      </c>
      <c r="I1" s="27" t="s">
        <v>1</v>
      </c>
      <c r="J1" s="27" t="s">
        <v>2</v>
      </c>
      <c r="K1" s="27" t="s">
        <v>3</v>
      </c>
      <c r="L1" s="27" t="s">
        <v>4</v>
      </c>
      <c r="M1" s="3"/>
      <c r="N1" s="5" t="str">
        <f ca="1">MID(CELL("filename",A1),FIND("]",CELL("filename",A1))+1,255)</f>
        <v>1 (19)</v>
      </c>
      <c r="O1" s="3"/>
    </row>
    <row r="2" spans="1:15" ht="28.5" customHeight="1">
      <c r="A2" s="4"/>
      <c r="B2" s="29">
        <v>14</v>
      </c>
      <c r="C2" s="29">
        <v>29</v>
      </c>
      <c r="D2" s="29">
        <v>44</v>
      </c>
      <c r="E2" s="29">
        <v>50</v>
      </c>
      <c r="F2" s="29">
        <v>75</v>
      </c>
      <c r="G2" s="29"/>
      <c r="H2" s="29">
        <v>14</v>
      </c>
      <c r="I2" s="29">
        <v>29</v>
      </c>
      <c r="J2" s="29">
        <v>44</v>
      </c>
      <c r="K2" s="29">
        <v>50</v>
      </c>
      <c r="L2" s="29">
        <v>75</v>
      </c>
      <c r="M2" s="4"/>
      <c r="O2" s="4"/>
    </row>
    <row r="3" spans="1:15" ht="28.5" customHeight="1">
      <c r="A3" s="4"/>
      <c r="B3" s="29">
        <v>10</v>
      </c>
      <c r="C3" s="29">
        <v>25</v>
      </c>
      <c r="D3" s="29">
        <v>40</v>
      </c>
      <c r="E3" s="29">
        <v>60</v>
      </c>
      <c r="F3" s="29">
        <v>67</v>
      </c>
      <c r="G3" s="29"/>
      <c r="H3" s="29">
        <v>10</v>
      </c>
      <c r="I3" s="29">
        <v>25</v>
      </c>
      <c r="J3" s="29">
        <v>40</v>
      </c>
      <c r="K3" s="29">
        <v>60</v>
      </c>
      <c r="L3" s="29">
        <v>67</v>
      </c>
      <c r="M3" s="4"/>
      <c r="O3" s="4"/>
    </row>
    <row r="4" spans="1:15" ht="28.5" customHeight="1">
      <c r="A4" s="4"/>
      <c r="B4" s="29">
        <v>11</v>
      </c>
      <c r="C4" s="29">
        <v>20</v>
      </c>
      <c r="D4" s="29" t="s">
        <v>44</v>
      </c>
      <c r="E4" s="29">
        <v>53</v>
      </c>
      <c r="F4" s="29">
        <v>74</v>
      </c>
      <c r="G4" s="29"/>
      <c r="H4" s="29">
        <v>11</v>
      </c>
      <c r="I4" s="29">
        <v>20</v>
      </c>
      <c r="J4" s="29" t="s">
        <v>44</v>
      </c>
      <c r="K4" s="29">
        <v>53</v>
      </c>
      <c r="L4" s="29">
        <v>74</v>
      </c>
      <c r="M4" s="4"/>
      <c r="O4" s="4"/>
    </row>
    <row r="5" spans="1:15" ht="28.5" customHeight="1">
      <c r="A5" s="4"/>
      <c r="B5" s="29">
        <v>4</v>
      </c>
      <c r="C5" s="29">
        <v>16</v>
      </c>
      <c r="D5" s="29">
        <v>36</v>
      </c>
      <c r="E5" s="29">
        <v>54</v>
      </c>
      <c r="F5" s="29">
        <v>66</v>
      </c>
      <c r="G5" s="29"/>
      <c r="H5" s="29">
        <v>4</v>
      </c>
      <c r="I5" s="29">
        <v>16</v>
      </c>
      <c r="J5" s="29">
        <v>36</v>
      </c>
      <c r="K5" s="29">
        <v>54</v>
      </c>
      <c r="L5" s="29">
        <v>66</v>
      </c>
      <c r="M5" s="4"/>
      <c r="O5" s="4"/>
    </row>
    <row r="6" spans="1:15" ht="28.5" customHeight="1">
      <c r="A6" s="4"/>
      <c r="B6" s="29">
        <v>12</v>
      </c>
      <c r="C6" s="29">
        <v>24</v>
      </c>
      <c r="D6" s="29">
        <v>41</v>
      </c>
      <c r="E6" s="29">
        <v>51</v>
      </c>
      <c r="F6" s="29">
        <v>62</v>
      </c>
      <c r="G6" s="29"/>
      <c r="H6" s="29">
        <v>12</v>
      </c>
      <c r="I6" s="29">
        <v>24</v>
      </c>
      <c r="J6" s="29">
        <v>41</v>
      </c>
      <c r="K6" s="29">
        <v>51</v>
      </c>
      <c r="L6" s="29">
        <v>62</v>
      </c>
      <c r="M6" s="4"/>
      <c r="O6" s="4"/>
    </row>
    <row r="7" spans="1:15" ht="28.5" customHeight="1"/>
    <row r="8" spans="1:15" ht="28.5" customHeight="1">
      <c r="A8" s="1"/>
      <c r="B8" s="27" t="s">
        <v>0</v>
      </c>
      <c r="C8" s="27" t="s">
        <v>1</v>
      </c>
      <c r="D8" s="27" t="s">
        <v>2</v>
      </c>
      <c r="E8" s="27" t="s">
        <v>3</v>
      </c>
      <c r="F8" s="27" t="s">
        <v>4</v>
      </c>
      <c r="G8" s="28"/>
      <c r="H8" s="27" t="s">
        <v>0</v>
      </c>
      <c r="I8" s="27" t="s">
        <v>1</v>
      </c>
      <c r="J8" s="27" t="s">
        <v>2</v>
      </c>
      <c r="K8" s="27" t="s">
        <v>3</v>
      </c>
      <c r="L8" s="27" t="s">
        <v>4</v>
      </c>
      <c r="M8" s="1"/>
      <c r="O8" s="1"/>
    </row>
    <row r="9" spans="1:15" ht="28.5" customHeight="1">
      <c r="A9" s="1"/>
      <c r="B9" s="29">
        <v>10</v>
      </c>
      <c r="C9" s="29">
        <v>18</v>
      </c>
      <c r="D9" s="29">
        <v>44</v>
      </c>
      <c r="E9" s="29">
        <v>57</v>
      </c>
      <c r="F9" s="29">
        <v>74</v>
      </c>
      <c r="G9" s="29"/>
      <c r="H9" s="29">
        <v>10</v>
      </c>
      <c r="I9" s="29">
        <v>18</v>
      </c>
      <c r="J9" s="29">
        <v>44</v>
      </c>
      <c r="K9" s="29">
        <v>57</v>
      </c>
      <c r="L9" s="29">
        <v>74</v>
      </c>
      <c r="M9" s="1"/>
      <c r="O9" s="1"/>
    </row>
    <row r="10" spans="1:15" ht="28.5" customHeight="1">
      <c r="A10" s="1"/>
      <c r="B10" s="29">
        <v>5</v>
      </c>
      <c r="C10" s="29">
        <v>29</v>
      </c>
      <c r="D10" s="29">
        <v>31</v>
      </c>
      <c r="E10" s="29">
        <v>48</v>
      </c>
      <c r="F10" s="29">
        <v>75</v>
      </c>
      <c r="G10" s="29"/>
      <c r="H10" s="29">
        <v>5</v>
      </c>
      <c r="I10" s="29">
        <v>29</v>
      </c>
      <c r="J10" s="29">
        <v>31</v>
      </c>
      <c r="K10" s="29">
        <v>48</v>
      </c>
      <c r="L10" s="29">
        <v>75</v>
      </c>
      <c r="M10" s="1"/>
      <c r="O10" s="1"/>
    </row>
    <row r="11" spans="1:15" ht="28.5" customHeight="1">
      <c r="A11" s="1"/>
      <c r="B11" s="29">
        <v>3</v>
      </c>
      <c r="C11" s="29">
        <v>20</v>
      </c>
      <c r="D11" s="29" t="s">
        <v>44</v>
      </c>
      <c r="E11" s="29">
        <v>46</v>
      </c>
      <c r="F11" s="29">
        <v>63</v>
      </c>
      <c r="G11" s="29"/>
      <c r="H11" s="29">
        <v>3</v>
      </c>
      <c r="I11" s="29">
        <v>20</v>
      </c>
      <c r="J11" s="29" t="s">
        <v>44</v>
      </c>
      <c r="K11" s="29">
        <v>46</v>
      </c>
      <c r="L11" s="29">
        <v>63</v>
      </c>
      <c r="M11" s="1"/>
      <c r="O11" s="1"/>
    </row>
    <row r="12" spans="1:15" ht="28.5" customHeight="1">
      <c r="A12" s="1"/>
      <c r="B12" s="29">
        <v>2</v>
      </c>
      <c r="C12" s="29">
        <v>17</v>
      </c>
      <c r="D12" s="29">
        <v>38</v>
      </c>
      <c r="E12" s="29">
        <v>53</v>
      </c>
      <c r="F12" s="29">
        <v>67</v>
      </c>
      <c r="G12" s="29"/>
      <c r="H12" s="29">
        <v>2</v>
      </c>
      <c r="I12" s="29">
        <v>17</v>
      </c>
      <c r="J12" s="29">
        <v>38</v>
      </c>
      <c r="K12" s="29">
        <v>53</v>
      </c>
      <c r="L12" s="29">
        <v>67</v>
      </c>
      <c r="M12" s="1"/>
      <c r="O12" s="1"/>
    </row>
    <row r="13" spans="1:15" ht="28.5" customHeight="1">
      <c r="A13" s="1"/>
      <c r="B13" s="29">
        <v>14</v>
      </c>
      <c r="C13" s="29">
        <v>25</v>
      </c>
      <c r="D13" s="29">
        <v>40</v>
      </c>
      <c r="E13" s="29">
        <v>56</v>
      </c>
      <c r="F13" s="29">
        <v>73</v>
      </c>
      <c r="G13" s="29"/>
      <c r="H13" s="29">
        <v>14</v>
      </c>
      <c r="I13" s="29">
        <v>25</v>
      </c>
      <c r="J13" s="29">
        <v>40</v>
      </c>
      <c r="K13" s="29">
        <v>56</v>
      </c>
      <c r="L13" s="29">
        <v>73</v>
      </c>
      <c r="M13" s="1"/>
      <c r="O13" s="1"/>
    </row>
    <row r="14" spans="1:15" ht="28.5" customHeight="1"/>
    <row r="15" spans="1:15" ht="28.5" customHeight="1">
      <c r="A15" s="1"/>
      <c r="B15" s="27"/>
      <c r="C15" s="27"/>
      <c r="D15" s="27"/>
      <c r="E15" s="27"/>
      <c r="F15" s="27"/>
      <c r="G15" s="28"/>
      <c r="H15" s="27"/>
      <c r="I15" s="27"/>
      <c r="J15" s="27"/>
      <c r="K15" s="27"/>
      <c r="L15" s="27"/>
      <c r="M15" s="1"/>
      <c r="O15" s="1"/>
    </row>
    <row r="16" spans="1:15" ht="28.5" customHeight="1">
      <c r="A16" s="1"/>
      <c r="B16" s="29"/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1"/>
      <c r="O16" s="1"/>
    </row>
    <row r="17" spans="1:15" ht="28.5" customHeight="1">
      <c r="A17" s="1"/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1"/>
      <c r="O17" s="1"/>
    </row>
    <row r="18" spans="1:15" ht="28.5" customHeight="1">
      <c r="A18" s="1"/>
      <c r="B18" s="29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1"/>
      <c r="O18" s="1"/>
    </row>
    <row r="19" spans="1:15" ht="28.5" customHeight="1">
      <c r="A19" s="1"/>
      <c r="B19" s="29"/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1"/>
      <c r="O19" s="1"/>
    </row>
    <row r="20" spans="1:15" ht="28.5" customHeight="1">
      <c r="A20" s="1"/>
      <c r="B20" s="29"/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1"/>
      <c r="O20" s="1"/>
    </row>
    <row r="21" spans="1:15" ht="28.5" customHeight="1"/>
  </sheetData>
  <phoneticPr fontId="20" type="noConversion"/>
  <pageMargins left="0.7" right="0.7" top="0.75" bottom="0.75" header="0.3" footer="0.3"/>
  <pageSetup paperSize="9" scale="88" orientation="portrait" r:id="rId1"/>
  <rowBreaks count="1" manualBreakCount="1">
    <brk id="21" max="13" man="1"/>
  </row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BC25A972-1AE7-42F8-BC96-7D5C43985DBF}">
            <xm:f>HLOOKUP(B2,Cards!$O$2:$DQ$2,1,FALSE)</xm:f>
            <x14:dxf>
              <font>
                <b val="0"/>
                <i/>
                <strike val="0"/>
                <color theme="5"/>
              </font>
            </x14:dxf>
          </x14:cfRule>
          <xm:sqref>B2:L20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O21"/>
  <sheetViews>
    <sheetView zoomScaleNormal="100" zoomScaleSheetLayoutView="70" workbookViewId="0">
      <selection activeCell="L15" sqref="B15:L20"/>
    </sheetView>
  </sheetViews>
  <sheetFormatPr defaultRowHeight="33.75"/>
  <cols>
    <col min="1" max="1" width="4.140625" customWidth="1"/>
    <col min="2" max="6" width="8.7109375" style="5" customWidth="1"/>
    <col min="7" max="7" width="3.140625" customWidth="1"/>
    <col min="8" max="12" width="8.7109375" style="5" customWidth="1"/>
    <col min="13" max="13" width="4.140625" customWidth="1"/>
    <col min="14" max="14" width="12.42578125" customWidth="1"/>
  </cols>
  <sheetData>
    <row r="1" spans="1:15" ht="28.5" customHeight="1">
      <c r="A1" s="3"/>
      <c r="B1" s="27" t="s">
        <v>0</v>
      </c>
      <c r="C1" s="27" t="s">
        <v>1</v>
      </c>
      <c r="D1" s="27" t="s">
        <v>2</v>
      </c>
      <c r="E1" s="27" t="s">
        <v>3</v>
      </c>
      <c r="F1" s="27" t="s">
        <v>4</v>
      </c>
      <c r="G1" s="28"/>
      <c r="H1" s="27" t="s">
        <v>0</v>
      </c>
      <c r="I1" s="27" t="s">
        <v>1</v>
      </c>
      <c r="J1" s="27" t="s">
        <v>2</v>
      </c>
      <c r="K1" s="27" t="s">
        <v>3</v>
      </c>
      <c r="L1" s="27" t="s">
        <v>4</v>
      </c>
      <c r="M1" s="3"/>
      <c r="N1" s="5" t="str">
        <f ca="1">MID(CELL("filename",A1),FIND("]",CELL("filename",A1))+1,255)</f>
        <v>1 (20)</v>
      </c>
      <c r="O1" s="3"/>
    </row>
    <row r="2" spans="1:15" ht="28.5" customHeight="1">
      <c r="A2" s="4"/>
      <c r="B2" s="29">
        <v>1</v>
      </c>
      <c r="C2" s="29">
        <v>27</v>
      </c>
      <c r="D2" s="29">
        <v>32</v>
      </c>
      <c r="E2" s="29">
        <v>54</v>
      </c>
      <c r="F2" s="29">
        <v>65</v>
      </c>
      <c r="G2" s="29"/>
      <c r="H2" s="29">
        <v>1</v>
      </c>
      <c r="I2" s="29">
        <v>27</v>
      </c>
      <c r="J2" s="29">
        <v>32</v>
      </c>
      <c r="K2" s="29">
        <v>54</v>
      </c>
      <c r="L2" s="29">
        <v>65</v>
      </c>
      <c r="M2" s="4"/>
      <c r="O2" s="4"/>
    </row>
    <row r="3" spans="1:15" ht="28.5" customHeight="1">
      <c r="A3" s="4"/>
      <c r="B3" s="29">
        <v>5</v>
      </c>
      <c r="C3" s="29">
        <v>16</v>
      </c>
      <c r="D3" s="29">
        <v>38</v>
      </c>
      <c r="E3" s="29">
        <v>49</v>
      </c>
      <c r="F3" s="29">
        <v>61</v>
      </c>
      <c r="G3" s="29"/>
      <c r="H3" s="29">
        <v>5</v>
      </c>
      <c r="I3" s="29">
        <v>16</v>
      </c>
      <c r="J3" s="29">
        <v>38</v>
      </c>
      <c r="K3" s="29">
        <v>49</v>
      </c>
      <c r="L3" s="29">
        <v>61</v>
      </c>
      <c r="M3" s="4"/>
      <c r="O3" s="4"/>
    </row>
    <row r="4" spans="1:15" ht="28.5" customHeight="1">
      <c r="A4" s="4"/>
      <c r="B4" s="29">
        <v>8</v>
      </c>
      <c r="C4" s="29">
        <v>22</v>
      </c>
      <c r="D4" s="29" t="s">
        <v>44</v>
      </c>
      <c r="E4" s="29">
        <v>56</v>
      </c>
      <c r="F4" s="29">
        <v>71</v>
      </c>
      <c r="G4" s="29"/>
      <c r="H4" s="29">
        <v>8</v>
      </c>
      <c r="I4" s="29">
        <v>22</v>
      </c>
      <c r="J4" s="29" t="s">
        <v>44</v>
      </c>
      <c r="K4" s="29">
        <v>56</v>
      </c>
      <c r="L4" s="29">
        <v>71</v>
      </c>
      <c r="M4" s="4"/>
      <c r="O4" s="4"/>
    </row>
    <row r="5" spans="1:15" ht="28.5" customHeight="1">
      <c r="A5" s="4"/>
      <c r="B5" s="29">
        <v>15</v>
      </c>
      <c r="C5" s="29">
        <v>20</v>
      </c>
      <c r="D5" s="29">
        <v>41</v>
      </c>
      <c r="E5" s="29">
        <v>46</v>
      </c>
      <c r="F5" s="29">
        <v>66</v>
      </c>
      <c r="G5" s="29"/>
      <c r="H5" s="29">
        <v>15</v>
      </c>
      <c r="I5" s="29">
        <v>20</v>
      </c>
      <c r="J5" s="29">
        <v>41</v>
      </c>
      <c r="K5" s="29">
        <v>46</v>
      </c>
      <c r="L5" s="29">
        <v>66</v>
      </c>
      <c r="M5" s="4"/>
      <c r="O5" s="4"/>
    </row>
    <row r="6" spans="1:15" ht="28.5" customHeight="1">
      <c r="A6" s="4"/>
      <c r="B6" s="29">
        <v>12</v>
      </c>
      <c r="C6" s="29">
        <v>30</v>
      </c>
      <c r="D6" s="29">
        <v>43</v>
      </c>
      <c r="E6" s="29">
        <v>51</v>
      </c>
      <c r="F6" s="29">
        <v>75</v>
      </c>
      <c r="G6" s="29"/>
      <c r="H6" s="29">
        <v>12</v>
      </c>
      <c r="I6" s="29">
        <v>30</v>
      </c>
      <c r="J6" s="29">
        <v>43</v>
      </c>
      <c r="K6" s="29">
        <v>51</v>
      </c>
      <c r="L6" s="29">
        <v>75</v>
      </c>
      <c r="M6" s="4"/>
      <c r="O6" s="4"/>
    </row>
    <row r="7" spans="1:15" ht="28.5" customHeight="1"/>
    <row r="8" spans="1:15" ht="28.5" customHeight="1">
      <c r="A8" s="1"/>
      <c r="B8" s="27" t="s">
        <v>0</v>
      </c>
      <c r="C8" s="27" t="s">
        <v>1</v>
      </c>
      <c r="D8" s="27" t="s">
        <v>2</v>
      </c>
      <c r="E8" s="27" t="s">
        <v>3</v>
      </c>
      <c r="F8" s="27" t="s">
        <v>4</v>
      </c>
      <c r="G8" s="28"/>
      <c r="H8" s="27" t="s">
        <v>0</v>
      </c>
      <c r="I8" s="27" t="s">
        <v>1</v>
      </c>
      <c r="J8" s="27" t="s">
        <v>2</v>
      </c>
      <c r="K8" s="27" t="s">
        <v>3</v>
      </c>
      <c r="L8" s="27" t="s">
        <v>4</v>
      </c>
      <c r="M8" s="1"/>
      <c r="O8" s="1"/>
    </row>
    <row r="9" spans="1:15" ht="28.5" customHeight="1">
      <c r="A9" s="1"/>
      <c r="B9" s="29">
        <v>13</v>
      </c>
      <c r="C9" s="29">
        <v>28</v>
      </c>
      <c r="D9" s="29">
        <v>34</v>
      </c>
      <c r="E9" s="29">
        <v>49</v>
      </c>
      <c r="F9" s="29">
        <v>66</v>
      </c>
      <c r="G9" s="29"/>
      <c r="H9" s="29">
        <v>13</v>
      </c>
      <c r="I9" s="29">
        <v>28</v>
      </c>
      <c r="J9" s="29">
        <v>34</v>
      </c>
      <c r="K9" s="29">
        <v>49</v>
      </c>
      <c r="L9" s="29">
        <v>66</v>
      </c>
      <c r="M9" s="1"/>
      <c r="O9" s="1"/>
    </row>
    <row r="10" spans="1:15" ht="28.5" customHeight="1">
      <c r="A10" s="1"/>
      <c r="B10" s="29">
        <v>14</v>
      </c>
      <c r="C10" s="29">
        <v>18</v>
      </c>
      <c r="D10" s="29">
        <v>36</v>
      </c>
      <c r="E10" s="29">
        <v>50</v>
      </c>
      <c r="F10" s="29">
        <v>65</v>
      </c>
      <c r="G10" s="29"/>
      <c r="H10" s="29">
        <v>14</v>
      </c>
      <c r="I10" s="29">
        <v>18</v>
      </c>
      <c r="J10" s="29">
        <v>36</v>
      </c>
      <c r="K10" s="29">
        <v>50</v>
      </c>
      <c r="L10" s="29">
        <v>65</v>
      </c>
      <c r="M10" s="1"/>
      <c r="O10" s="1"/>
    </row>
    <row r="11" spans="1:15" ht="28.5" customHeight="1">
      <c r="A11" s="1"/>
      <c r="B11" s="29">
        <v>1</v>
      </c>
      <c r="C11" s="29">
        <v>22</v>
      </c>
      <c r="D11" s="29" t="s">
        <v>44</v>
      </c>
      <c r="E11" s="29">
        <v>57</v>
      </c>
      <c r="F11" s="29">
        <v>74</v>
      </c>
      <c r="G11" s="29"/>
      <c r="H11" s="29">
        <v>1</v>
      </c>
      <c r="I11" s="29">
        <v>22</v>
      </c>
      <c r="J11" s="29" t="s">
        <v>44</v>
      </c>
      <c r="K11" s="29">
        <v>57</v>
      </c>
      <c r="L11" s="29">
        <v>74</v>
      </c>
      <c r="M11" s="1"/>
      <c r="O11" s="1"/>
    </row>
    <row r="12" spans="1:15" ht="28.5" customHeight="1">
      <c r="A12" s="1"/>
      <c r="B12" s="29">
        <v>15</v>
      </c>
      <c r="C12" s="29">
        <v>19</v>
      </c>
      <c r="D12" s="29">
        <v>33</v>
      </c>
      <c r="E12" s="29">
        <v>55</v>
      </c>
      <c r="F12" s="29">
        <v>67</v>
      </c>
      <c r="G12" s="29"/>
      <c r="H12" s="29">
        <v>15</v>
      </c>
      <c r="I12" s="29">
        <v>19</v>
      </c>
      <c r="J12" s="29">
        <v>33</v>
      </c>
      <c r="K12" s="29">
        <v>55</v>
      </c>
      <c r="L12" s="29">
        <v>67</v>
      </c>
      <c r="M12" s="1"/>
      <c r="O12" s="1"/>
    </row>
    <row r="13" spans="1:15" ht="28.5" customHeight="1">
      <c r="A13" s="1"/>
      <c r="B13" s="29">
        <v>10</v>
      </c>
      <c r="C13" s="29">
        <v>24</v>
      </c>
      <c r="D13" s="29">
        <v>41</v>
      </c>
      <c r="E13" s="29">
        <v>56</v>
      </c>
      <c r="F13" s="29">
        <v>72</v>
      </c>
      <c r="G13" s="29"/>
      <c r="H13" s="29">
        <v>10</v>
      </c>
      <c r="I13" s="29">
        <v>24</v>
      </c>
      <c r="J13" s="29">
        <v>41</v>
      </c>
      <c r="K13" s="29">
        <v>56</v>
      </c>
      <c r="L13" s="29">
        <v>72</v>
      </c>
      <c r="M13" s="1"/>
      <c r="O13" s="1"/>
    </row>
    <row r="14" spans="1:15" ht="28.5" customHeight="1"/>
    <row r="15" spans="1:15" ht="28.5" customHeight="1">
      <c r="A15" s="1"/>
      <c r="B15" s="27"/>
      <c r="C15" s="27"/>
      <c r="D15" s="27"/>
      <c r="E15" s="27"/>
      <c r="F15" s="27"/>
      <c r="G15" s="28"/>
      <c r="H15" s="27"/>
      <c r="I15" s="27"/>
      <c r="J15" s="27"/>
      <c r="K15" s="27"/>
      <c r="L15" s="27"/>
      <c r="M15" s="1"/>
      <c r="O15" s="1"/>
    </row>
    <row r="16" spans="1:15" ht="28.5" customHeight="1">
      <c r="A16" s="1"/>
      <c r="B16" s="29"/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1"/>
      <c r="O16" s="1"/>
    </row>
    <row r="17" spans="1:15" ht="28.5" customHeight="1">
      <c r="A17" s="1"/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1"/>
      <c r="O17" s="1"/>
    </row>
    <row r="18" spans="1:15" ht="28.5" customHeight="1">
      <c r="A18" s="1"/>
      <c r="B18" s="29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1"/>
      <c r="O18" s="1"/>
    </row>
    <row r="19" spans="1:15" ht="28.5" customHeight="1">
      <c r="A19" s="1"/>
      <c r="B19" s="29"/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1"/>
      <c r="O19" s="1"/>
    </row>
    <row r="20" spans="1:15" ht="28.5" customHeight="1">
      <c r="A20" s="1"/>
      <c r="B20" s="29"/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1"/>
      <c r="O20" s="1"/>
    </row>
    <row r="21" spans="1:15" ht="28.5" customHeight="1"/>
  </sheetData>
  <phoneticPr fontId="20" type="noConversion"/>
  <pageMargins left="0.7" right="0.7" top="0.75" bottom="0.75" header="0.3" footer="0.3"/>
  <pageSetup paperSize="9" scale="88" orientation="portrait" r:id="rId1"/>
  <rowBreaks count="1" manualBreakCount="1">
    <brk id="21" max="13" man="1"/>
  </row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502C05CF-583B-4E13-9279-BBA8B97F4B11}">
            <xm:f>HLOOKUP(B2,Cards!$O$2:$DQ$2,1,FALSE)</xm:f>
            <x14:dxf>
              <font>
                <b val="0"/>
                <i/>
                <strike val="0"/>
                <color theme="5"/>
              </font>
            </x14:dxf>
          </x14:cfRule>
          <xm:sqref>B2:L20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O21"/>
  <sheetViews>
    <sheetView zoomScaleNormal="100" zoomScaleSheetLayoutView="70" workbookViewId="0">
      <selection activeCell="L15" sqref="B15:L20"/>
    </sheetView>
  </sheetViews>
  <sheetFormatPr defaultRowHeight="33.75"/>
  <cols>
    <col min="1" max="1" width="4.140625" customWidth="1"/>
    <col min="2" max="6" width="8.7109375" style="5" customWidth="1"/>
    <col min="7" max="7" width="3.140625" customWidth="1"/>
    <col min="8" max="12" width="8.7109375" style="5" customWidth="1"/>
    <col min="13" max="13" width="4.140625" customWidth="1"/>
    <col min="14" max="14" width="11.7109375" customWidth="1"/>
  </cols>
  <sheetData>
    <row r="1" spans="1:15" ht="28.5" customHeight="1">
      <c r="A1" s="3"/>
      <c r="B1" s="27" t="s">
        <v>0</v>
      </c>
      <c r="C1" s="27" t="s">
        <v>1</v>
      </c>
      <c r="D1" s="27" t="s">
        <v>2</v>
      </c>
      <c r="E1" s="27" t="s">
        <v>3</v>
      </c>
      <c r="F1" s="27" t="s">
        <v>4</v>
      </c>
      <c r="G1" s="28"/>
      <c r="H1" s="27" t="s">
        <v>0</v>
      </c>
      <c r="I1" s="27" t="s">
        <v>1</v>
      </c>
      <c r="J1" s="27" t="s">
        <v>2</v>
      </c>
      <c r="K1" s="27" t="s">
        <v>3</v>
      </c>
      <c r="L1" s="27" t="s">
        <v>4</v>
      </c>
      <c r="M1" s="3"/>
      <c r="N1" s="5" t="str">
        <f ca="1">MID(CELL("filename",A1),FIND("]",CELL("filename",A1))+1,255)</f>
        <v>1 (21)</v>
      </c>
      <c r="O1" s="3"/>
    </row>
    <row r="2" spans="1:15" ht="28.5" customHeight="1">
      <c r="A2" s="4"/>
      <c r="B2" s="29">
        <v>9</v>
      </c>
      <c r="C2" s="29">
        <v>20</v>
      </c>
      <c r="D2" s="29">
        <v>43</v>
      </c>
      <c r="E2" s="29">
        <v>58</v>
      </c>
      <c r="F2" s="29">
        <v>72</v>
      </c>
      <c r="G2" s="29"/>
      <c r="H2" s="29">
        <v>9</v>
      </c>
      <c r="I2" s="29">
        <v>20</v>
      </c>
      <c r="J2" s="29">
        <v>43</v>
      </c>
      <c r="K2" s="29">
        <v>58</v>
      </c>
      <c r="L2" s="29">
        <v>72</v>
      </c>
      <c r="M2" s="4"/>
      <c r="O2" s="4"/>
    </row>
    <row r="3" spans="1:15" ht="28.5" customHeight="1">
      <c r="A3" s="4"/>
      <c r="B3" s="29">
        <v>7</v>
      </c>
      <c r="C3" s="29">
        <v>28</v>
      </c>
      <c r="D3" s="29">
        <v>44</v>
      </c>
      <c r="E3" s="29">
        <v>55</v>
      </c>
      <c r="F3" s="29">
        <v>66</v>
      </c>
      <c r="G3" s="29"/>
      <c r="H3" s="29">
        <v>7</v>
      </c>
      <c r="I3" s="29">
        <v>28</v>
      </c>
      <c r="J3" s="29">
        <v>44</v>
      </c>
      <c r="K3" s="29">
        <v>55</v>
      </c>
      <c r="L3" s="29">
        <v>66</v>
      </c>
      <c r="M3" s="4"/>
      <c r="O3" s="4"/>
    </row>
    <row r="4" spans="1:15" ht="28.5" customHeight="1">
      <c r="A4" s="4"/>
      <c r="B4" s="29">
        <v>6</v>
      </c>
      <c r="C4" s="29">
        <v>18</v>
      </c>
      <c r="D4" s="29" t="s">
        <v>44</v>
      </c>
      <c r="E4" s="29">
        <v>46</v>
      </c>
      <c r="F4" s="29">
        <v>65</v>
      </c>
      <c r="G4" s="29"/>
      <c r="H4" s="29">
        <v>6</v>
      </c>
      <c r="I4" s="29">
        <v>18</v>
      </c>
      <c r="J4" s="29" t="s">
        <v>44</v>
      </c>
      <c r="K4" s="29">
        <v>46</v>
      </c>
      <c r="L4" s="29">
        <v>65</v>
      </c>
      <c r="M4" s="4"/>
      <c r="O4" s="4"/>
    </row>
    <row r="5" spans="1:15" ht="28.5" customHeight="1">
      <c r="A5" s="4"/>
      <c r="B5" s="29">
        <v>5</v>
      </c>
      <c r="C5" s="29">
        <v>23</v>
      </c>
      <c r="D5" s="29">
        <v>45</v>
      </c>
      <c r="E5" s="29">
        <v>50</v>
      </c>
      <c r="F5" s="29">
        <v>62</v>
      </c>
      <c r="G5" s="29"/>
      <c r="H5" s="29">
        <v>5</v>
      </c>
      <c r="I5" s="29">
        <v>23</v>
      </c>
      <c r="J5" s="29">
        <v>45</v>
      </c>
      <c r="K5" s="29">
        <v>50</v>
      </c>
      <c r="L5" s="29">
        <v>62</v>
      </c>
      <c r="M5" s="4"/>
      <c r="O5" s="4"/>
    </row>
    <row r="6" spans="1:15" ht="28.5" customHeight="1">
      <c r="A6" s="4"/>
      <c r="B6" s="29">
        <v>14</v>
      </c>
      <c r="C6" s="29">
        <v>30</v>
      </c>
      <c r="D6" s="29">
        <v>33</v>
      </c>
      <c r="E6" s="29">
        <v>56</v>
      </c>
      <c r="F6" s="29">
        <v>61</v>
      </c>
      <c r="G6" s="29"/>
      <c r="H6" s="29">
        <v>14</v>
      </c>
      <c r="I6" s="29">
        <v>30</v>
      </c>
      <c r="J6" s="29">
        <v>33</v>
      </c>
      <c r="K6" s="29">
        <v>56</v>
      </c>
      <c r="L6" s="29">
        <v>61</v>
      </c>
      <c r="M6" s="4"/>
      <c r="O6" s="4"/>
    </row>
    <row r="7" spans="1:15" ht="28.5" customHeight="1"/>
    <row r="8" spans="1:15" ht="28.5" customHeight="1">
      <c r="A8" s="1"/>
      <c r="B8" s="27" t="s">
        <v>0</v>
      </c>
      <c r="C8" s="27" t="s">
        <v>1</v>
      </c>
      <c r="D8" s="27" t="s">
        <v>2</v>
      </c>
      <c r="E8" s="27" t="s">
        <v>3</v>
      </c>
      <c r="F8" s="27" t="s">
        <v>4</v>
      </c>
      <c r="G8" s="28"/>
      <c r="H8" s="27" t="s">
        <v>0</v>
      </c>
      <c r="I8" s="27" t="s">
        <v>1</v>
      </c>
      <c r="J8" s="27" t="s">
        <v>2</v>
      </c>
      <c r="K8" s="27" t="s">
        <v>3</v>
      </c>
      <c r="L8" s="27" t="s">
        <v>4</v>
      </c>
      <c r="M8" s="1"/>
      <c r="O8" s="1"/>
    </row>
    <row r="9" spans="1:15" ht="28.5" customHeight="1">
      <c r="A9" s="1"/>
      <c r="B9" s="29">
        <v>11</v>
      </c>
      <c r="C9" s="29">
        <v>29</v>
      </c>
      <c r="D9" s="29">
        <v>43</v>
      </c>
      <c r="E9" s="29">
        <v>58</v>
      </c>
      <c r="F9" s="29">
        <v>65</v>
      </c>
      <c r="G9" s="29"/>
      <c r="H9" s="29">
        <v>11</v>
      </c>
      <c r="I9" s="29">
        <v>29</v>
      </c>
      <c r="J9" s="29">
        <v>43</v>
      </c>
      <c r="K9" s="29">
        <v>58</v>
      </c>
      <c r="L9" s="29">
        <v>65</v>
      </c>
      <c r="M9" s="1"/>
      <c r="O9" s="1"/>
    </row>
    <row r="10" spans="1:15" ht="28.5" customHeight="1">
      <c r="A10" s="1"/>
      <c r="B10" s="29">
        <v>8</v>
      </c>
      <c r="C10" s="29">
        <v>26</v>
      </c>
      <c r="D10" s="29">
        <v>37</v>
      </c>
      <c r="E10" s="29">
        <v>60</v>
      </c>
      <c r="F10" s="29">
        <v>75</v>
      </c>
      <c r="G10" s="29"/>
      <c r="H10" s="29">
        <v>8</v>
      </c>
      <c r="I10" s="29">
        <v>26</v>
      </c>
      <c r="J10" s="29">
        <v>37</v>
      </c>
      <c r="K10" s="29">
        <v>60</v>
      </c>
      <c r="L10" s="29">
        <v>75</v>
      </c>
      <c r="M10" s="1"/>
      <c r="O10" s="1"/>
    </row>
    <row r="11" spans="1:15" ht="28.5" customHeight="1">
      <c r="A11" s="1"/>
      <c r="B11" s="29">
        <v>2</v>
      </c>
      <c r="C11" s="29">
        <v>19</v>
      </c>
      <c r="D11" s="29" t="s">
        <v>44</v>
      </c>
      <c r="E11" s="29">
        <v>52</v>
      </c>
      <c r="F11" s="29">
        <v>63</v>
      </c>
      <c r="G11" s="29"/>
      <c r="H11" s="29">
        <v>2</v>
      </c>
      <c r="I11" s="29">
        <v>19</v>
      </c>
      <c r="J11" s="29" t="s">
        <v>44</v>
      </c>
      <c r="K11" s="29">
        <v>52</v>
      </c>
      <c r="L11" s="29">
        <v>63</v>
      </c>
      <c r="M11" s="1"/>
      <c r="O11" s="1"/>
    </row>
    <row r="12" spans="1:15" ht="28.5" customHeight="1">
      <c r="A12" s="1"/>
      <c r="B12" s="29">
        <v>14</v>
      </c>
      <c r="C12" s="29">
        <v>22</v>
      </c>
      <c r="D12" s="29">
        <v>44</v>
      </c>
      <c r="E12" s="29">
        <v>51</v>
      </c>
      <c r="F12" s="29">
        <v>74</v>
      </c>
      <c r="G12" s="29"/>
      <c r="H12" s="29">
        <v>14</v>
      </c>
      <c r="I12" s="29">
        <v>22</v>
      </c>
      <c r="J12" s="29">
        <v>44</v>
      </c>
      <c r="K12" s="29">
        <v>51</v>
      </c>
      <c r="L12" s="29">
        <v>74</v>
      </c>
      <c r="M12" s="1"/>
      <c r="O12" s="1"/>
    </row>
    <row r="13" spans="1:15" ht="28.5" customHeight="1">
      <c r="A13" s="1"/>
      <c r="B13" s="29">
        <v>9</v>
      </c>
      <c r="C13" s="29">
        <v>21</v>
      </c>
      <c r="D13" s="29">
        <v>38</v>
      </c>
      <c r="E13" s="29">
        <v>46</v>
      </c>
      <c r="F13" s="29">
        <v>61</v>
      </c>
      <c r="G13" s="29"/>
      <c r="H13" s="29">
        <v>9</v>
      </c>
      <c r="I13" s="29">
        <v>21</v>
      </c>
      <c r="J13" s="29">
        <v>38</v>
      </c>
      <c r="K13" s="29">
        <v>46</v>
      </c>
      <c r="L13" s="29">
        <v>61</v>
      </c>
      <c r="M13" s="1"/>
      <c r="O13" s="1"/>
    </row>
    <row r="14" spans="1:15" ht="28.5" customHeight="1"/>
    <row r="15" spans="1:15" ht="28.5" customHeight="1">
      <c r="A15" s="1"/>
      <c r="B15" s="27"/>
      <c r="C15" s="27"/>
      <c r="D15" s="27"/>
      <c r="E15" s="27"/>
      <c r="F15" s="27"/>
      <c r="G15" s="28"/>
      <c r="H15" s="27"/>
      <c r="I15" s="27"/>
      <c r="J15" s="27"/>
      <c r="K15" s="27"/>
      <c r="L15" s="27"/>
      <c r="M15" s="1"/>
      <c r="O15" s="1"/>
    </row>
    <row r="16" spans="1:15" ht="28.5" customHeight="1">
      <c r="A16" s="1"/>
      <c r="B16" s="29"/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1"/>
      <c r="O16" s="1"/>
    </row>
    <row r="17" spans="1:15" ht="28.5" customHeight="1">
      <c r="A17" s="1"/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1"/>
      <c r="O17" s="1"/>
    </row>
    <row r="18" spans="1:15" ht="28.5" customHeight="1">
      <c r="A18" s="1"/>
      <c r="B18" s="29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1"/>
      <c r="O18" s="1"/>
    </row>
    <row r="19" spans="1:15" ht="28.5" customHeight="1">
      <c r="A19" s="1"/>
      <c r="B19" s="29"/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1"/>
      <c r="O19" s="1"/>
    </row>
    <row r="20" spans="1:15" ht="28.5" customHeight="1">
      <c r="A20" s="1"/>
      <c r="B20" s="29"/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1"/>
      <c r="O20" s="1"/>
    </row>
    <row r="21" spans="1:15" ht="28.5" customHeight="1"/>
  </sheetData>
  <phoneticPr fontId="20" type="noConversion"/>
  <pageMargins left="0.7" right="0.7" top="0.75" bottom="0.75" header="0.3" footer="0.3"/>
  <pageSetup paperSize="9" scale="88" orientation="portrait" r:id="rId1"/>
  <rowBreaks count="1" manualBreakCount="1">
    <brk id="21" max="13" man="1"/>
  </row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AA8AF30-AD99-4C35-BC73-205721CF0047}">
            <xm:f>HLOOKUP(B2,Cards!$O$2:$DQ$2,1,FALSE)</xm:f>
            <x14:dxf>
              <font>
                <b val="0"/>
                <i/>
                <strike val="0"/>
                <color theme="5"/>
              </font>
            </x14:dxf>
          </x14:cfRule>
          <xm:sqref>B2:L20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O21"/>
  <sheetViews>
    <sheetView zoomScaleNormal="100" zoomScaleSheetLayoutView="70" workbookViewId="0">
      <selection activeCell="L15" sqref="B15:L20"/>
    </sheetView>
  </sheetViews>
  <sheetFormatPr defaultRowHeight="33.75"/>
  <cols>
    <col min="1" max="1" width="4.140625" customWidth="1"/>
    <col min="2" max="6" width="8.7109375" style="5" customWidth="1"/>
    <col min="7" max="7" width="3.140625" customWidth="1"/>
    <col min="8" max="12" width="8.7109375" style="5" customWidth="1"/>
    <col min="13" max="13" width="4.140625" customWidth="1"/>
    <col min="14" max="14" width="13.28515625" customWidth="1"/>
  </cols>
  <sheetData>
    <row r="1" spans="1:15" ht="28.5" customHeight="1">
      <c r="A1" s="3"/>
      <c r="B1" s="27" t="s">
        <v>0</v>
      </c>
      <c r="C1" s="27" t="s">
        <v>1</v>
      </c>
      <c r="D1" s="27" t="s">
        <v>2</v>
      </c>
      <c r="E1" s="27" t="s">
        <v>3</v>
      </c>
      <c r="F1" s="27" t="s">
        <v>4</v>
      </c>
      <c r="G1" s="28"/>
      <c r="H1" s="27" t="s">
        <v>0</v>
      </c>
      <c r="I1" s="27" t="s">
        <v>1</v>
      </c>
      <c r="J1" s="27" t="s">
        <v>2</v>
      </c>
      <c r="K1" s="27" t="s">
        <v>3</v>
      </c>
      <c r="L1" s="27" t="s">
        <v>4</v>
      </c>
      <c r="M1" s="3"/>
      <c r="N1" s="5" t="str">
        <f ca="1">MID(CELL("filename",A1),FIND("]",CELL("filename",A1))+1,255)</f>
        <v>1 (22)</v>
      </c>
      <c r="O1" s="3"/>
    </row>
    <row r="2" spans="1:15" ht="28.5" customHeight="1">
      <c r="A2" s="4"/>
      <c r="B2" s="29">
        <v>11</v>
      </c>
      <c r="C2" s="29">
        <v>21</v>
      </c>
      <c r="D2" s="29">
        <v>45</v>
      </c>
      <c r="E2" s="29">
        <v>48</v>
      </c>
      <c r="F2" s="29">
        <v>70</v>
      </c>
      <c r="G2" s="29"/>
      <c r="H2" s="29">
        <v>11</v>
      </c>
      <c r="I2" s="29">
        <v>21</v>
      </c>
      <c r="J2" s="29">
        <v>45</v>
      </c>
      <c r="K2" s="29">
        <v>48</v>
      </c>
      <c r="L2" s="29">
        <v>70</v>
      </c>
      <c r="M2" s="4"/>
      <c r="O2" s="4"/>
    </row>
    <row r="3" spans="1:15" ht="28.5" customHeight="1">
      <c r="A3" s="4"/>
      <c r="B3" s="29">
        <v>15</v>
      </c>
      <c r="C3" s="29">
        <v>24</v>
      </c>
      <c r="D3" s="29">
        <v>31</v>
      </c>
      <c r="E3" s="29">
        <v>59</v>
      </c>
      <c r="F3" s="29">
        <v>72</v>
      </c>
      <c r="G3" s="29"/>
      <c r="H3" s="29">
        <v>15</v>
      </c>
      <c r="I3" s="29">
        <v>24</v>
      </c>
      <c r="J3" s="29">
        <v>31</v>
      </c>
      <c r="K3" s="29">
        <v>59</v>
      </c>
      <c r="L3" s="29">
        <v>72</v>
      </c>
      <c r="M3" s="4"/>
      <c r="O3" s="4"/>
    </row>
    <row r="4" spans="1:15" ht="28.5" customHeight="1">
      <c r="A4" s="4"/>
      <c r="B4" s="29">
        <v>13</v>
      </c>
      <c r="C4" s="29">
        <v>19</v>
      </c>
      <c r="D4" s="29" t="s">
        <v>44</v>
      </c>
      <c r="E4" s="29">
        <v>57</v>
      </c>
      <c r="F4" s="29">
        <v>67</v>
      </c>
      <c r="G4" s="29"/>
      <c r="H4" s="29">
        <v>13</v>
      </c>
      <c r="I4" s="29">
        <v>19</v>
      </c>
      <c r="J4" s="29" t="s">
        <v>44</v>
      </c>
      <c r="K4" s="29">
        <v>57</v>
      </c>
      <c r="L4" s="29">
        <v>67</v>
      </c>
      <c r="M4" s="4"/>
      <c r="O4" s="4"/>
    </row>
    <row r="5" spans="1:15" ht="28.5" customHeight="1">
      <c r="A5" s="4"/>
      <c r="B5" s="29">
        <v>5</v>
      </c>
      <c r="C5" s="29">
        <v>23</v>
      </c>
      <c r="D5" s="29">
        <v>33</v>
      </c>
      <c r="E5" s="29">
        <v>55</v>
      </c>
      <c r="F5" s="29">
        <v>69</v>
      </c>
      <c r="G5" s="29"/>
      <c r="H5" s="29">
        <v>5</v>
      </c>
      <c r="I5" s="29">
        <v>23</v>
      </c>
      <c r="J5" s="29">
        <v>33</v>
      </c>
      <c r="K5" s="29">
        <v>55</v>
      </c>
      <c r="L5" s="29">
        <v>69</v>
      </c>
      <c r="M5" s="4"/>
      <c r="O5" s="4"/>
    </row>
    <row r="6" spans="1:15" ht="28.5" customHeight="1">
      <c r="A6" s="4"/>
      <c r="B6" s="29">
        <v>9</v>
      </c>
      <c r="C6" s="29">
        <v>17</v>
      </c>
      <c r="D6" s="29">
        <v>43</v>
      </c>
      <c r="E6" s="29">
        <v>47</v>
      </c>
      <c r="F6" s="29">
        <v>73</v>
      </c>
      <c r="G6" s="29"/>
      <c r="H6" s="29">
        <v>9</v>
      </c>
      <c r="I6" s="29">
        <v>17</v>
      </c>
      <c r="J6" s="29">
        <v>43</v>
      </c>
      <c r="K6" s="29">
        <v>47</v>
      </c>
      <c r="L6" s="29">
        <v>73</v>
      </c>
      <c r="M6" s="4"/>
      <c r="O6" s="4"/>
    </row>
    <row r="7" spans="1:15" ht="28.5" customHeight="1"/>
    <row r="8" spans="1:15" ht="28.5" customHeight="1">
      <c r="A8" s="1"/>
      <c r="B8" s="27" t="s">
        <v>0</v>
      </c>
      <c r="C8" s="27" t="s">
        <v>1</v>
      </c>
      <c r="D8" s="27" t="s">
        <v>2</v>
      </c>
      <c r="E8" s="27" t="s">
        <v>3</v>
      </c>
      <c r="F8" s="27" t="s">
        <v>4</v>
      </c>
      <c r="G8" s="28"/>
      <c r="H8" s="27" t="s">
        <v>0</v>
      </c>
      <c r="I8" s="27" t="s">
        <v>1</v>
      </c>
      <c r="J8" s="27" t="s">
        <v>2</v>
      </c>
      <c r="K8" s="27" t="s">
        <v>3</v>
      </c>
      <c r="L8" s="27" t="s">
        <v>4</v>
      </c>
      <c r="M8" s="1"/>
      <c r="O8" s="1"/>
    </row>
    <row r="9" spans="1:15" ht="28.5" customHeight="1">
      <c r="A9" s="1"/>
      <c r="B9" s="29">
        <v>10</v>
      </c>
      <c r="C9" s="29">
        <v>16</v>
      </c>
      <c r="D9" s="29">
        <v>32</v>
      </c>
      <c r="E9" s="29">
        <v>47</v>
      </c>
      <c r="F9" s="29">
        <v>68</v>
      </c>
      <c r="G9" s="29"/>
      <c r="H9" s="29">
        <v>10</v>
      </c>
      <c r="I9" s="29">
        <v>16</v>
      </c>
      <c r="J9" s="29">
        <v>32</v>
      </c>
      <c r="K9" s="29">
        <v>47</v>
      </c>
      <c r="L9" s="29">
        <v>68</v>
      </c>
      <c r="M9" s="1"/>
      <c r="O9" s="1"/>
    </row>
    <row r="10" spans="1:15" ht="28.5" customHeight="1">
      <c r="A10" s="1"/>
      <c r="B10" s="29">
        <v>1</v>
      </c>
      <c r="C10" s="29">
        <v>28</v>
      </c>
      <c r="D10" s="29">
        <v>31</v>
      </c>
      <c r="E10" s="29">
        <v>60</v>
      </c>
      <c r="F10" s="29">
        <v>63</v>
      </c>
      <c r="G10" s="29"/>
      <c r="H10" s="29">
        <v>1</v>
      </c>
      <c r="I10" s="29">
        <v>28</v>
      </c>
      <c r="J10" s="29">
        <v>31</v>
      </c>
      <c r="K10" s="29">
        <v>60</v>
      </c>
      <c r="L10" s="29">
        <v>63</v>
      </c>
      <c r="M10" s="1"/>
      <c r="O10" s="1"/>
    </row>
    <row r="11" spans="1:15" ht="28.5" customHeight="1">
      <c r="A11" s="1"/>
      <c r="B11" s="29">
        <v>3</v>
      </c>
      <c r="C11" s="29">
        <v>19</v>
      </c>
      <c r="D11" s="29" t="s">
        <v>44</v>
      </c>
      <c r="E11" s="29">
        <v>58</v>
      </c>
      <c r="F11" s="29">
        <v>74</v>
      </c>
      <c r="G11" s="29"/>
      <c r="H11" s="29">
        <v>3</v>
      </c>
      <c r="I11" s="29">
        <v>19</v>
      </c>
      <c r="J11" s="29" t="s">
        <v>44</v>
      </c>
      <c r="K11" s="29">
        <v>58</v>
      </c>
      <c r="L11" s="29">
        <v>74</v>
      </c>
      <c r="M11" s="1"/>
      <c r="O11" s="1"/>
    </row>
    <row r="12" spans="1:15" ht="28.5" customHeight="1">
      <c r="A12" s="1"/>
      <c r="B12" s="29">
        <v>4</v>
      </c>
      <c r="C12" s="29">
        <v>25</v>
      </c>
      <c r="D12" s="29">
        <v>45</v>
      </c>
      <c r="E12" s="29">
        <v>51</v>
      </c>
      <c r="F12" s="29">
        <v>71</v>
      </c>
      <c r="G12" s="29"/>
      <c r="H12" s="29">
        <v>4</v>
      </c>
      <c r="I12" s="29">
        <v>25</v>
      </c>
      <c r="J12" s="29">
        <v>45</v>
      </c>
      <c r="K12" s="29">
        <v>51</v>
      </c>
      <c r="L12" s="29">
        <v>71</v>
      </c>
      <c r="M12" s="1"/>
      <c r="O12" s="1"/>
    </row>
    <row r="13" spans="1:15" ht="28.5" customHeight="1">
      <c r="A13" s="1"/>
      <c r="B13" s="29">
        <v>7</v>
      </c>
      <c r="C13" s="29">
        <v>27</v>
      </c>
      <c r="D13" s="29">
        <v>42</v>
      </c>
      <c r="E13" s="29">
        <v>52</v>
      </c>
      <c r="F13" s="29">
        <v>67</v>
      </c>
      <c r="G13" s="29"/>
      <c r="H13" s="29">
        <v>7</v>
      </c>
      <c r="I13" s="29">
        <v>27</v>
      </c>
      <c r="J13" s="29">
        <v>42</v>
      </c>
      <c r="K13" s="29">
        <v>52</v>
      </c>
      <c r="L13" s="29">
        <v>67</v>
      </c>
      <c r="M13" s="1"/>
      <c r="O13" s="1"/>
    </row>
    <row r="14" spans="1:15" ht="28.5" customHeight="1"/>
    <row r="15" spans="1:15" ht="28.5" customHeight="1">
      <c r="A15" s="1"/>
      <c r="B15" s="27"/>
      <c r="C15" s="27"/>
      <c r="D15" s="27"/>
      <c r="E15" s="27"/>
      <c r="F15" s="27"/>
      <c r="G15" s="28"/>
      <c r="H15" s="27"/>
      <c r="I15" s="27"/>
      <c r="J15" s="27"/>
      <c r="K15" s="27"/>
      <c r="L15" s="27"/>
      <c r="M15" s="1"/>
      <c r="O15" s="1"/>
    </row>
    <row r="16" spans="1:15" ht="28.5" customHeight="1">
      <c r="A16" s="1"/>
      <c r="B16" s="29"/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1"/>
      <c r="O16" s="1"/>
    </row>
    <row r="17" spans="1:15" ht="28.5" customHeight="1">
      <c r="A17" s="1"/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1"/>
      <c r="O17" s="1"/>
    </row>
    <row r="18" spans="1:15" ht="28.5" customHeight="1">
      <c r="A18" s="1"/>
      <c r="B18" s="29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1"/>
      <c r="O18" s="1"/>
    </row>
    <row r="19" spans="1:15" ht="28.5" customHeight="1">
      <c r="A19" s="1"/>
      <c r="B19" s="29"/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1"/>
      <c r="O19" s="1"/>
    </row>
    <row r="20" spans="1:15" ht="28.5" customHeight="1">
      <c r="A20" s="1"/>
      <c r="B20" s="29"/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1"/>
      <c r="O20" s="1"/>
    </row>
    <row r="21" spans="1:15" ht="28.5" customHeight="1"/>
  </sheetData>
  <phoneticPr fontId="20" type="noConversion"/>
  <pageMargins left="0.7" right="0.7" top="0.75" bottom="0.75" header="0.3" footer="0.3"/>
  <pageSetup paperSize="9" scale="87" orientation="portrait" r:id="rId1"/>
  <rowBreaks count="1" manualBreakCount="1">
    <brk id="21" max="13" man="1"/>
  </row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A838C167-2ADE-42F2-9B45-24B34C225FAE}">
            <xm:f>HLOOKUP(B2,Cards!$O$2:$DQ$2,1,FALSE)</xm:f>
            <x14:dxf>
              <font>
                <b val="0"/>
                <i/>
                <strike val="0"/>
                <color theme="5"/>
              </font>
            </x14:dxf>
          </x14:cfRule>
          <xm:sqref>B2:L20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O21"/>
  <sheetViews>
    <sheetView zoomScaleNormal="100" zoomScaleSheetLayoutView="70" workbookViewId="0">
      <selection activeCell="L15" sqref="B15:L20"/>
    </sheetView>
  </sheetViews>
  <sheetFormatPr defaultRowHeight="33.75"/>
  <cols>
    <col min="1" max="1" width="4.140625" customWidth="1"/>
    <col min="2" max="6" width="8.7109375" style="5" customWidth="1"/>
    <col min="7" max="7" width="3.140625" customWidth="1"/>
    <col min="8" max="12" width="8.7109375" style="5" customWidth="1"/>
    <col min="13" max="13" width="4.140625" customWidth="1"/>
    <col min="14" max="14" width="12.28515625" customWidth="1"/>
  </cols>
  <sheetData>
    <row r="1" spans="1:15" ht="28.5" customHeight="1">
      <c r="A1" s="3"/>
      <c r="B1" s="27" t="s">
        <v>0</v>
      </c>
      <c r="C1" s="27" t="s">
        <v>1</v>
      </c>
      <c r="D1" s="27" t="s">
        <v>2</v>
      </c>
      <c r="E1" s="27" t="s">
        <v>3</v>
      </c>
      <c r="F1" s="27" t="s">
        <v>4</v>
      </c>
      <c r="G1" s="28"/>
      <c r="H1" s="27" t="s">
        <v>0</v>
      </c>
      <c r="I1" s="27" t="s">
        <v>1</v>
      </c>
      <c r="J1" s="27" t="s">
        <v>2</v>
      </c>
      <c r="K1" s="27" t="s">
        <v>3</v>
      </c>
      <c r="L1" s="27" t="s">
        <v>4</v>
      </c>
      <c r="M1" s="3"/>
      <c r="N1" s="5" t="str">
        <f ca="1">MID(CELL("filename",A1),FIND("]",CELL("filename",A1))+1,255)</f>
        <v>1 (23)</v>
      </c>
      <c r="O1" s="3"/>
    </row>
    <row r="2" spans="1:15" ht="28.5" customHeight="1">
      <c r="A2" s="4"/>
      <c r="B2" s="29">
        <v>9</v>
      </c>
      <c r="C2" s="29">
        <v>19</v>
      </c>
      <c r="D2" s="29">
        <v>44</v>
      </c>
      <c r="E2" s="29">
        <v>50</v>
      </c>
      <c r="F2" s="29">
        <v>61</v>
      </c>
      <c r="G2" s="29"/>
      <c r="H2" s="29">
        <v>9</v>
      </c>
      <c r="I2" s="29">
        <v>19</v>
      </c>
      <c r="J2" s="29">
        <v>44</v>
      </c>
      <c r="K2" s="29">
        <v>50</v>
      </c>
      <c r="L2" s="29">
        <v>61</v>
      </c>
      <c r="M2" s="4"/>
      <c r="O2" s="4"/>
    </row>
    <row r="3" spans="1:15" ht="28.5" customHeight="1">
      <c r="A3" s="4"/>
      <c r="B3" s="29">
        <v>7</v>
      </c>
      <c r="C3" s="29">
        <v>28</v>
      </c>
      <c r="D3" s="29">
        <v>37</v>
      </c>
      <c r="E3" s="29">
        <v>57</v>
      </c>
      <c r="F3" s="29">
        <v>70</v>
      </c>
      <c r="G3" s="29"/>
      <c r="H3" s="29">
        <v>7</v>
      </c>
      <c r="I3" s="29">
        <v>28</v>
      </c>
      <c r="J3" s="29">
        <v>37</v>
      </c>
      <c r="K3" s="29">
        <v>57</v>
      </c>
      <c r="L3" s="29">
        <v>70</v>
      </c>
      <c r="M3" s="4"/>
      <c r="O3" s="4"/>
    </row>
    <row r="4" spans="1:15" ht="28.5" customHeight="1">
      <c r="A4" s="4"/>
      <c r="B4" s="29">
        <v>5</v>
      </c>
      <c r="C4" s="29">
        <v>26</v>
      </c>
      <c r="D4" s="29" t="s">
        <v>44</v>
      </c>
      <c r="E4" s="29">
        <v>47</v>
      </c>
      <c r="F4" s="29">
        <v>75</v>
      </c>
      <c r="G4" s="29"/>
      <c r="H4" s="29">
        <v>5</v>
      </c>
      <c r="I4" s="29">
        <v>26</v>
      </c>
      <c r="J4" s="29" t="s">
        <v>44</v>
      </c>
      <c r="K4" s="29">
        <v>47</v>
      </c>
      <c r="L4" s="29">
        <v>75</v>
      </c>
      <c r="M4" s="4"/>
      <c r="O4" s="4"/>
    </row>
    <row r="5" spans="1:15" ht="28.5" customHeight="1">
      <c r="A5" s="4"/>
      <c r="B5" s="29">
        <v>11</v>
      </c>
      <c r="C5" s="29">
        <v>22</v>
      </c>
      <c r="D5" s="29">
        <v>39</v>
      </c>
      <c r="E5" s="29">
        <v>52</v>
      </c>
      <c r="F5" s="29">
        <v>68</v>
      </c>
      <c r="G5" s="29"/>
      <c r="H5" s="29">
        <v>11</v>
      </c>
      <c r="I5" s="29">
        <v>22</v>
      </c>
      <c r="J5" s="29">
        <v>39</v>
      </c>
      <c r="K5" s="29">
        <v>52</v>
      </c>
      <c r="L5" s="29">
        <v>68</v>
      </c>
      <c r="M5" s="4"/>
      <c r="O5" s="4"/>
    </row>
    <row r="6" spans="1:15" ht="28.5" customHeight="1">
      <c r="A6" s="4"/>
      <c r="B6" s="29">
        <v>2</v>
      </c>
      <c r="C6" s="29">
        <v>27</v>
      </c>
      <c r="D6" s="29">
        <v>42</v>
      </c>
      <c r="E6" s="29">
        <v>46</v>
      </c>
      <c r="F6" s="29">
        <v>64</v>
      </c>
      <c r="G6" s="29"/>
      <c r="H6" s="29">
        <v>2</v>
      </c>
      <c r="I6" s="29">
        <v>27</v>
      </c>
      <c r="J6" s="29">
        <v>42</v>
      </c>
      <c r="K6" s="29">
        <v>46</v>
      </c>
      <c r="L6" s="29">
        <v>64</v>
      </c>
      <c r="M6" s="4"/>
      <c r="O6" s="4"/>
    </row>
    <row r="7" spans="1:15" ht="28.5" customHeight="1"/>
    <row r="8" spans="1:15" ht="28.5" customHeight="1">
      <c r="A8" s="1"/>
      <c r="B8" s="27" t="s">
        <v>0</v>
      </c>
      <c r="C8" s="27" t="s">
        <v>1</v>
      </c>
      <c r="D8" s="27" t="s">
        <v>2</v>
      </c>
      <c r="E8" s="27" t="s">
        <v>3</v>
      </c>
      <c r="F8" s="27" t="s">
        <v>4</v>
      </c>
      <c r="G8" s="28"/>
      <c r="H8" s="27" t="s">
        <v>0</v>
      </c>
      <c r="I8" s="27" t="s">
        <v>1</v>
      </c>
      <c r="J8" s="27" t="s">
        <v>2</v>
      </c>
      <c r="K8" s="27" t="s">
        <v>3</v>
      </c>
      <c r="L8" s="27" t="s">
        <v>4</v>
      </c>
      <c r="M8" s="1"/>
      <c r="O8" s="1"/>
    </row>
    <row r="9" spans="1:15" ht="28.5" customHeight="1">
      <c r="A9" s="1"/>
      <c r="B9" s="29">
        <v>14</v>
      </c>
      <c r="C9" s="29">
        <v>23</v>
      </c>
      <c r="D9" s="29">
        <v>44</v>
      </c>
      <c r="E9" s="29">
        <v>56</v>
      </c>
      <c r="F9" s="29">
        <v>70</v>
      </c>
      <c r="G9" s="29"/>
      <c r="H9" s="29">
        <v>14</v>
      </c>
      <c r="I9" s="29">
        <v>23</v>
      </c>
      <c r="J9" s="29">
        <v>44</v>
      </c>
      <c r="K9" s="29">
        <v>56</v>
      </c>
      <c r="L9" s="29">
        <v>70</v>
      </c>
      <c r="M9" s="1"/>
      <c r="O9" s="1"/>
    </row>
    <row r="10" spans="1:15" ht="28.5" customHeight="1">
      <c r="A10" s="1"/>
      <c r="B10" s="29">
        <v>5</v>
      </c>
      <c r="C10" s="29">
        <v>18</v>
      </c>
      <c r="D10" s="29">
        <v>43</v>
      </c>
      <c r="E10" s="29">
        <v>51</v>
      </c>
      <c r="F10" s="29">
        <v>61</v>
      </c>
      <c r="G10" s="29"/>
      <c r="H10" s="29">
        <v>5</v>
      </c>
      <c r="I10" s="29">
        <v>18</v>
      </c>
      <c r="J10" s="29">
        <v>43</v>
      </c>
      <c r="K10" s="29">
        <v>51</v>
      </c>
      <c r="L10" s="29">
        <v>61</v>
      </c>
      <c r="M10" s="1"/>
      <c r="O10" s="1"/>
    </row>
    <row r="11" spans="1:15" ht="28.5" customHeight="1">
      <c r="A11" s="1"/>
      <c r="B11" s="29">
        <v>12</v>
      </c>
      <c r="C11" s="29">
        <v>29</v>
      </c>
      <c r="D11" s="29" t="s">
        <v>44</v>
      </c>
      <c r="E11" s="29">
        <v>50</v>
      </c>
      <c r="F11" s="29">
        <v>74</v>
      </c>
      <c r="G11" s="29"/>
      <c r="H11" s="29">
        <v>12</v>
      </c>
      <c r="I11" s="29">
        <v>29</v>
      </c>
      <c r="J11" s="29" t="s">
        <v>44</v>
      </c>
      <c r="K11" s="29">
        <v>50</v>
      </c>
      <c r="L11" s="29">
        <v>74</v>
      </c>
      <c r="M11" s="1"/>
      <c r="O11" s="1"/>
    </row>
    <row r="12" spans="1:15" ht="28.5" customHeight="1">
      <c r="A12" s="1"/>
      <c r="B12" s="29">
        <v>8</v>
      </c>
      <c r="C12" s="29">
        <v>26</v>
      </c>
      <c r="D12" s="29">
        <v>31</v>
      </c>
      <c r="E12" s="29">
        <v>54</v>
      </c>
      <c r="F12" s="29">
        <v>62</v>
      </c>
      <c r="G12" s="29"/>
      <c r="H12" s="29">
        <v>8</v>
      </c>
      <c r="I12" s="29">
        <v>26</v>
      </c>
      <c r="J12" s="29">
        <v>31</v>
      </c>
      <c r="K12" s="29">
        <v>54</v>
      </c>
      <c r="L12" s="29">
        <v>62</v>
      </c>
      <c r="M12" s="1"/>
      <c r="O12" s="1"/>
    </row>
    <row r="13" spans="1:15" ht="28.5" customHeight="1">
      <c r="A13" s="1"/>
      <c r="B13" s="29">
        <v>2</v>
      </c>
      <c r="C13" s="29">
        <v>28</v>
      </c>
      <c r="D13" s="29">
        <v>33</v>
      </c>
      <c r="E13" s="29">
        <v>55</v>
      </c>
      <c r="F13" s="29">
        <v>65</v>
      </c>
      <c r="G13" s="29"/>
      <c r="H13" s="29">
        <v>2</v>
      </c>
      <c r="I13" s="29">
        <v>28</v>
      </c>
      <c r="J13" s="29">
        <v>33</v>
      </c>
      <c r="K13" s="29">
        <v>55</v>
      </c>
      <c r="L13" s="29">
        <v>65</v>
      </c>
      <c r="M13" s="1"/>
      <c r="O13" s="1"/>
    </row>
    <row r="14" spans="1:15" ht="28.5" customHeight="1"/>
    <row r="15" spans="1:15" ht="28.5" customHeight="1">
      <c r="A15" s="1"/>
      <c r="B15" s="27"/>
      <c r="C15" s="27"/>
      <c r="D15" s="27"/>
      <c r="E15" s="27"/>
      <c r="F15" s="27"/>
      <c r="G15" s="28"/>
      <c r="H15" s="27"/>
      <c r="I15" s="27"/>
      <c r="J15" s="27"/>
      <c r="K15" s="27"/>
      <c r="L15" s="27"/>
      <c r="M15" s="1"/>
      <c r="O15" s="1"/>
    </row>
    <row r="16" spans="1:15" ht="28.5" customHeight="1">
      <c r="A16" s="1"/>
      <c r="B16" s="29"/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1"/>
      <c r="O16" s="1"/>
    </row>
    <row r="17" spans="1:15" ht="28.5" customHeight="1">
      <c r="A17" s="1"/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1"/>
      <c r="O17" s="1"/>
    </row>
    <row r="18" spans="1:15" ht="28.5" customHeight="1">
      <c r="A18" s="1"/>
      <c r="B18" s="29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1"/>
      <c r="O18" s="1"/>
    </row>
    <row r="19" spans="1:15" ht="28.5" customHeight="1">
      <c r="A19" s="1"/>
      <c r="B19" s="29"/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1"/>
      <c r="O19" s="1"/>
    </row>
    <row r="20" spans="1:15" ht="28.5" customHeight="1">
      <c r="A20" s="1"/>
      <c r="B20" s="29"/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1"/>
      <c r="O20" s="1"/>
    </row>
    <row r="21" spans="1:15" ht="28.5" customHeight="1"/>
  </sheetData>
  <phoneticPr fontId="20" type="noConversion"/>
  <pageMargins left="0.7" right="0.7" top="0.75" bottom="0.75" header="0.3" footer="0.3"/>
  <pageSetup paperSize="9" scale="88" orientation="portrait" r:id="rId1"/>
  <rowBreaks count="1" manualBreakCount="1">
    <brk id="21" max="13" man="1"/>
  </row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CE36487A-3DDA-4EE7-A27B-67816554FC83}">
            <xm:f>HLOOKUP(B2,Cards!$O$2:$DQ$2,1,FALSE)</xm:f>
            <x14:dxf>
              <font>
                <b val="0"/>
                <i/>
                <strike val="0"/>
                <color theme="5"/>
              </font>
            </x14:dxf>
          </x14:cfRule>
          <xm:sqref>B2:L20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O21"/>
  <sheetViews>
    <sheetView zoomScaleNormal="100" zoomScaleSheetLayoutView="70" workbookViewId="0">
      <selection activeCell="L15" sqref="B15:L20"/>
    </sheetView>
  </sheetViews>
  <sheetFormatPr defaultRowHeight="33.75"/>
  <cols>
    <col min="1" max="1" width="4.140625" customWidth="1"/>
    <col min="2" max="6" width="8.7109375" style="5" customWidth="1"/>
    <col min="7" max="7" width="3.140625" customWidth="1"/>
    <col min="8" max="12" width="8.7109375" style="5" customWidth="1"/>
    <col min="13" max="13" width="4.140625" customWidth="1"/>
    <col min="14" max="14" width="12.42578125" customWidth="1"/>
  </cols>
  <sheetData>
    <row r="1" spans="1:15" ht="28.5" customHeight="1">
      <c r="A1" s="3"/>
      <c r="B1" s="27" t="s">
        <v>0</v>
      </c>
      <c r="C1" s="27" t="s">
        <v>1</v>
      </c>
      <c r="D1" s="27" t="s">
        <v>2</v>
      </c>
      <c r="E1" s="27" t="s">
        <v>3</v>
      </c>
      <c r="F1" s="27" t="s">
        <v>4</v>
      </c>
      <c r="G1" s="28"/>
      <c r="H1" s="27" t="s">
        <v>0</v>
      </c>
      <c r="I1" s="27" t="s">
        <v>1</v>
      </c>
      <c r="J1" s="27" t="s">
        <v>2</v>
      </c>
      <c r="K1" s="27" t="s">
        <v>3</v>
      </c>
      <c r="L1" s="27" t="s">
        <v>4</v>
      </c>
      <c r="M1" s="3"/>
      <c r="N1" s="5" t="str">
        <f ca="1">MID(CELL("filename",A1),FIND("]",CELL("filename",A1))+1,255)</f>
        <v>1 (24)</v>
      </c>
      <c r="O1" s="3"/>
    </row>
    <row r="2" spans="1:15" ht="28.5" customHeight="1">
      <c r="A2" s="4"/>
      <c r="B2" s="29">
        <v>2</v>
      </c>
      <c r="C2" s="29">
        <v>27</v>
      </c>
      <c r="D2" s="29">
        <v>35</v>
      </c>
      <c r="E2" s="29">
        <v>47</v>
      </c>
      <c r="F2" s="29">
        <v>73</v>
      </c>
      <c r="G2" s="29"/>
      <c r="H2" s="29">
        <v>2</v>
      </c>
      <c r="I2" s="29">
        <v>27</v>
      </c>
      <c r="J2" s="29">
        <v>35</v>
      </c>
      <c r="K2" s="29">
        <v>47</v>
      </c>
      <c r="L2" s="29">
        <v>73</v>
      </c>
      <c r="M2" s="4"/>
      <c r="O2" s="4"/>
    </row>
    <row r="3" spans="1:15" ht="28.5" customHeight="1">
      <c r="A3" s="4"/>
      <c r="B3" s="29">
        <v>15</v>
      </c>
      <c r="C3" s="29">
        <v>24</v>
      </c>
      <c r="D3" s="29">
        <v>44</v>
      </c>
      <c r="E3" s="29">
        <v>58</v>
      </c>
      <c r="F3" s="29">
        <v>63</v>
      </c>
      <c r="G3" s="29"/>
      <c r="H3" s="29">
        <v>15</v>
      </c>
      <c r="I3" s="29">
        <v>24</v>
      </c>
      <c r="J3" s="29">
        <v>44</v>
      </c>
      <c r="K3" s="29">
        <v>58</v>
      </c>
      <c r="L3" s="29">
        <v>63</v>
      </c>
      <c r="M3" s="4"/>
      <c r="O3" s="4"/>
    </row>
    <row r="4" spans="1:15" ht="28.5" customHeight="1">
      <c r="A4" s="4"/>
      <c r="B4" s="29">
        <v>10</v>
      </c>
      <c r="C4" s="29">
        <v>22</v>
      </c>
      <c r="D4" s="29" t="s">
        <v>44</v>
      </c>
      <c r="E4" s="29">
        <v>55</v>
      </c>
      <c r="F4" s="29">
        <v>65</v>
      </c>
      <c r="G4" s="29"/>
      <c r="H4" s="29">
        <v>10</v>
      </c>
      <c r="I4" s="29">
        <v>22</v>
      </c>
      <c r="J4" s="29" t="s">
        <v>44</v>
      </c>
      <c r="K4" s="29">
        <v>55</v>
      </c>
      <c r="L4" s="29">
        <v>65</v>
      </c>
      <c r="M4" s="4"/>
      <c r="O4" s="4"/>
    </row>
    <row r="5" spans="1:15" ht="28.5" customHeight="1">
      <c r="A5" s="4"/>
      <c r="B5" s="29">
        <v>13</v>
      </c>
      <c r="C5" s="29">
        <v>19</v>
      </c>
      <c r="D5" s="29">
        <v>41</v>
      </c>
      <c r="E5" s="29">
        <v>56</v>
      </c>
      <c r="F5" s="29">
        <v>71</v>
      </c>
      <c r="G5" s="29"/>
      <c r="H5" s="29">
        <v>13</v>
      </c>
      <c r="I5" s="29">
        <v>19</v>
      </c>
      <c r="J5" s="29">
        <v>41</v>
      </c>
      <c r="K5" s="29">
        <v>56</v>
      </c>
      <c r="L5" s="29">
        <v>71</v>
      </c>
      <c r="M5" s="4"/>
      <c r="O5" s="4"/>
    </row>
    <row r="6" spans="1:15" ht="28.5" customHeight="1">
      <c r="A6" s="4"/>
      <c r="B6" s="29">
        <v>6</v>
      </c>
      <c r="C6" s="29">
        <v>21</v>
      </c>
      <c r="D6" s="29">
        <v>34</v>
      </c>
      <c r="E6" s="29">
        <v>60</v>
      </c>
      <c r="F6" s="29">
        <v>69</v>
      </c>
      <c r="G6" s="29"/>
      <c r="H6" s="29">
        <v>6</v>
      </c>
      <c r="I6" s="29">
        <v>21</v>
      </c>
      <c r="J6" s="29">
        <v>34</v>
      </c>
      <c r="K6" s="29">
        <v>60</v>
      </c>
      <c r="L6" s="29">
        <v>69</v>
      </c>
      <c r="M6" s="4"/>
      <c r="O6" s="4"/>
    </row>
    <row r="7" spans="1:15" ht="28.5" customHeight="1"/>
    <row r="8" spans="1:15" ht="28.5" customHeight="1">
      <c r="A8" s="1"/>
      <c r="B8" s="27" t="s">
        <v>0</v>
      </c>
      <c r="C8" s="27" t="s">
        <v>1</v>
      </c>
      <c r="D8" s="27" t="s">
        <v>2</v>
      </c>
      <c r="E8" s="27" t="s">
        <v>3</v>
      </c>
      <c r="F8" s="27" t="s">
        <v>4</v>
      </c>
      <c r="G8" s="28"/>
      <c r="H8" s="27" t="s">
        <v>0</v>
      </c>
      <c r="I8" s="27" t="s">
        <v>1</v>
      </c>
      <c r="J8" s="27" t="s">
        <v>2</v>
      </c>
      <c r="K8" s="27" t="s">
        <v>3</v>
      </c>
      <c r="L8" s="27" t="s">
        <v>4</v>
      </c>
      <c r="M8" s="1"/>
      <c r="O8" s="1"/>
    </row>
    <row r="9" spans="1:15" ht="28.5" customHeight="1">
      <c r="A9" s="1"/>
      <c r="B9" s="29">
        <v>14</v>
      </c>
      <c r="C9" s="29">
        <v>18</v>
      </c>
      <c r="D9" s="29">
        <v>32</v>
      </c>
      <c r="E9" s="29">
        <v>51</v>
      </c>
      <c r="F9" s="29">
        <v>63</v>
      </c>
      <c r="G9" s="29"/>
      <c r="H9" s="29">
        <v>14</v>
      </c>
      <c r="I9" s="29">
        <v>18</v>
      </c>
      <c r="J9" s="29">
        <v>32</v>
      </c>
      <c r="K9" s="29">
        <v>51</v>
      </c>
      <c r="L9" s="29">
        <v>63</v>
      </c>
      <c r="M9" s="1"/>
      <c r="O9" s="1"/>
    </row>
    <row r="10" spans="1:15" ht="28.5" customHeight="1">
      <c r="A10" s="1"/>
      <c r="B10" s="29">
        <v>4</v>
      </c>
      <c r="C10" s="29">
        <v>22</v>
      </c>
      <c r="D10" s="29">
        <v>42</v>
      </c>
      <c r="E10" s="29">
        <v>58</v>
      </c>
      <c r="F10" s="29">
        <v>69</v>
      </c>
      <c r="G10" s="29"/>
      <c r="H10" s="29">
        <v>4</v>
      </c>
      <c r="I10" s="29">
        <v>22</v>
      </c>
      <c r="J10" s="29">
        <v>42</v>
      </c>
      <c r="K10" s="29">
        <v>58</v>
      </c>
      <c r="L10" s="29">
        <v>69</v>
      </c>
      <c r="M10" s="1"/>
      <c r="O10" s="1"/>
    </row>
    <row r="11" spans="1:15" ht="28.5" customHeight="1">
      <c r="A11" s="1"/>
      <c r="B11" s="29">
        <v>2</v>
      </c>
      <c r="C11" s="29">
        <v>25</v>
      </c>
      <c r="D11" s="29" t="s">
        <v>44</v>
      </c>
      <c r="E11" s="29">
        <v>53</v>
      </c>
      <c r="F11" s="29">
        <v>66</v>
      </c>
      <c r="G11" s="29"/>
      <c r="H11" s="29">
        <v>2</v>
      </c>
      <c r="I11" s="29">
        <v>25</v>
      </c>
      <c r="J11" s="29" t="s">
        <v>44</v>
      </c>
      <c r="K11" s="29">
        <v>53</v>
      </c>
      <c r="L11" s="29">
        <v>66</v>
      </c>
      <c r="M11" s="1"/>
      <c r="O11" s="1"/>
    </row>
    <row r="12" spans="1:15" ht="28.5" customHeight="1">
      <c r="A12" s="1"/>
      <c r="B12" s="29">
        <v>12</v>
      </c>
      <c r="C12" s="29">
        <v>20</v>
      </c>
      <c r="D12" s="29">
        <v>41</v>
      </c>
      <c r="E12" s="29">
        <v>48</v>
      </c>
      <c r="F12" s="29">
        <v>64</v>
      </c>
      <c r="G12" s="29"/>
      <c r="H12" s="29">
        <v>12</v>
      </c>
      <c r="I12" s="29">
        <v>20</v>
      </c>
      <c r="J12" s="29">
        <v>41</v>
      </c>
      <c r="K12" s="29">
        <v>48</v>
      </c>
      <c r="L12" s="29">
        <v>64</v>
      </c>
      <c r="M12" s="1"/>
      <c r="O12" s="1"/>
    </row>
    <row r="13" spans="1:15" ht="28.5" customHeight="1">
      <c r="A13" s="1"/>
      <c r="B13" s="29">
        <v>1</v>
      </c>
      <c r="C13" s="29">
        <v>30</v>
      </c>
      <c r="D13" s="29">
        <v>36</v>
      </c>
      <c r="E13" s="29">
        <v>52</v>
      </c>
      <c r="F13" s="29">
        <v>70</v>
      </c>
      <c r="G13" s="29"/>
      <c r="H13" s="29">
        <v>1</v>
      </c>
      <c r="I13" s="29">
        <v>30</v>
      </c>
      <c r="J13" s="29">
        <v>36</v>
      </c>
      <c r="K13" s="29">
        <v>52</v>
      </c>
      <c r="L13" s="29">
        <v>70</v>
      </c>
      <c r="M13" s="1"/>
      <c r="O13" s="1"/>
    </row>
    <row r="14" spans="1:15" ht="28.5" customHeight="1"/>
    <row r="15" spans="1:15" ht="28.5" customHeight="1">
      <c r="A15" s="1"/>
      <c r="B15" s="27"/>
      <c r="C15" s="27"/>
      <c r="D15" s="27"/>
      <c r="E15" s="27"/>
      <c r="F15" s="27"/>
      <c r="G15" s="28"/>
      <c r="H15" s="27"/>
      <c r="I15" s="27"/>
      <c r="J15" s="27"/>
      <c r="K15" s="27"/>
      <c r="L15" s="27"/>
      <c r="M15" s="1"/>
      <c r="O15" s="1"/>
    </row>
    <row r="16" spans="1:15" ht="28.5" customHeight="1">
      <c r="A16" s="1"/>
      <c r="B16" s="29"/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1"/>
      <c r="O16" s="1"/>
    </row>
    <row r="17" spans="1:15" ht="28.5" customHeight="1">
      <c r="A17" s="1"/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1"/>
      <c r="O17" s="1"/>
    </row>
    <row r="18" spans="1:15" ht="28.5" customHeight="1">
      <c r="A18" s="1"/>
      <c r="B18" s="29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1"/>
      <c r="O18" s="1"/>
    </row>
    <row r="19" spans="1:15" ht="28.5" customHeight="1">
      <c r="A19" s="1"/>
      <c r="B19" s="29"/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1"/>
      <c r="O19" s="1"/>
    </row>
    <row r="20" spans="1:15" ht="28.5" customHeight="1">
      <c r="A20" s="1"/>
      <c r="B20" s="29"/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1"/>
      <c r="O20" s="1"/>
    </row>
    <row r="21" spans="1:15" ht="28.5" customHeight="1"/>
  </sheetData>
  <phoneticPr fontId="20" type="noConversion"/>
  <pageMargins left="0.7" right="0.7" top="0.75" bottom="0.75" header="0.3" footer="0.3"/>
  <pageSetup paperSize="9" scale="88" orientation="portrait" r:id="rId1"/>
  <rowBreaks count="1" manualBreakCount="1">
    <brk id="21" max="13" man="1"/>
  </row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A2C119DE-F460-4CE0-8289-84D859304BEF}">
            <xm:f>HLOOKUP(B2,Cards!$O$2:$DQ$2,1,FALSE)</xm:f>
            <x14:dxf>
              <font>
                <b val="0"/>
                <i/>
                <strike val="0"/>
                <color theme="5"/>
              </font>
            </x14:dxf>
          </x14:cfRule>
          <xm:sqref>B2:L20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O21"/>
  <sheetViews>
    <sheetView zoomScaleNormal="100" zoomScaleSheetLayoutView="70" workbookViewId="0">
      <selection activeCell="L15" sqref="B15:L20"/>
    </sheetView>
  </sheetViews>
  <sheetFormatPr defaultRowHeight="33.75"/>
  <cols>
    <col min="1" max="1" width="4.140625" customWidth="1"/>
    <col min="2" max="6" width="8.7109375" style="5" customWidth="1"/>
    <col min="7" max="7" width="3.140625" customWidth="1"/>
    <col min="8" max="12" width="8.7109375" style="5" customWidth="1"/>
    <col min="13" max="13" width="4.140625" customWidth="1"/>
    <col min="14" max="14" width="12.140625" customWidth="1"/>
  </cols>
  <sheetData>
    <row r="1" spans="1:15" ht="28.5" customHeight="1">
      <c r="A1" s="3"/>
      <c r="B1" s="27" t="s">
        <v>0</v>
      </c>
      <c r="C1" s="27" t="s">
        <v>1</v>
      </c>
      <c r="D1" s="27" t="s">
        <v>2</v>
      </c>
      <c r="E1" s="27" t="s">
        <v>3</v>
      </c>
      <c r="F1" s="27" t="s">
        <v>4</v>
      </c>
      <c r="G1" s="28"/>
      <c r="H1" s="27" t="s">
        <v>0</v>
      </c>
      <c r="I1" s="27" t="s">
        <v>1</v>
      </c>
      <c r="J1" s="27" t="s">
        <v>2</v>
      </c>
      <c r="K1" s="27" t="s">
        <v>3</v>
      </c>
      <c r="L1" s="27" t="s">
        <v>4</v>
      </c>
      <c r="M1" s="3"/>
      <c r="N1" s="5" t="str">
        <f ca="1">MID(CELL("filename",A1),FIND("]",CELL("filename",A1))+1,255)</f>
        <v>1 (25)</v>
      </c>
      <c r="O1" s="3"/>
    </row>
    <row r="2" spans="1:15" ht="28.5" customHeight="1">
      <c r="A2" s="4"/>
      <c r="B2" s="29">
        <v>3</v>
      </c>
      <c r="C2" s="29">
        <v>23</v>
      </c>
      <c r="D2" s="29">
        <v>40</v>
      </c>
      <c r="E2" s="29">
        <v>49</v>
      </c>
      <c r="F2" s="29">
        <v>70</v>
      </c>
      <c r="G2" s="29"/>
      <c r="H2" s="29">
        <v>3</v>
      </c>
      <c r="I2" s="29">
        <v>23</v>
      </c>
      <c r="J2" s="29">
        <v>40</v>
      </c>
      <c r="K2" s="29">
        <v>49</v>
      </c>
      <c r="L2" s="29">
        <v>70</v>
      </c>
      <c r="M2" s="4"/>
      <c r="O2" s="4"/>
    </row>
    <row r="3" spans="1:15" ht="28.5" customHeight="1">
      <c r="A3" s="4"/>
      <c r="B3" s="29">
        <v>7</v>
      </c>
      <c r="C3" s="29">
        <v>24</v>
      </c>
      <c r="D3" s="29">
        <v>43</v>
      </c>
      <c r="E3" s="29">
        <v>50</v>
      </c>
      <c r="F3" s="29">
        <v>75</v>
      </c>
      <c r="G3" s="29"/>
      <c r="H3" s="29">
        <v>7</v>
      </c>
      <c r="I3" s="29">
        <v>24</v>
      </c>
      <c r="J3" s="29">
        <v>43</v>
      </c>
      <c r="K3" s="29">
        <v>50</v>
      </c>
      <c r="L3" s="29">
        <v>75</v>
      </c>
      <c r="M3" s="4"/>
      <c r="O3" s="4"/>
    </row>
    <row r="4" spans="1:15" ht="28.5" customHeight="1">
      <c r="A4" s="4"/>
      <c r="B4" s="29">
        <v>14</v>
      </c>
      <c r="C4" s="29">
        <v>30</v>
      </c>
      <c r="D4" s="29" t="s">
        <v>44</v>
      </c>
      <c r="E4" s="29">
        <v>55</v>
      </c>
      <c r="F4" s="29">
        <v>71</v>
      </c>
      <c r="G4" s="29"/>
      <c r="H4" s="29">
        <v>14</v>
      </c>
      <c r="I4" s="29">
        <v>30</v>
      </c>
      <c r="J4" s="29" t="s">
        <v>44</v>
      </c>
      <c r="K4" s="29">
        <v>55</v>
      </c>
      <c r="L4" s="29">
        <v>71</v>
      </c>
      <c r="M4" s="4"/>
      <c r="O4" s="4"/>
    </row>
    <row r="5" spans="1:15" ht="28.5" customHeight="1">
      <c r="A5" s="4"/>
      <c r="B5" s="29">
        <v>6</v>
      </c>
      <c r="C5" s="29">
        <v>29</v>
      </c>
      <c r="D5" s="29">
        <v>32</v>
      </c>
      <c r="E5" s="29">
        <v>58</v>
      </c>
      <c r="F5" s="29">
        <v>66</v>
      </c>
      <c r="G5" s="29"/>
      <c r="H5" s="29">
        <v>6</v>
      </c>
      <c r="I5" s="29">
        <v>29</v>
      </c>
      <c r="J5" s="29">
        <v>32</v>
      </c>
      <c r="K5" s="29">
        <v>58</v>
      </c>
      <c r="L5" s="29">
        <v>66</v>
      </c>
      <c r="M5" s="4"/>
      <c r="O5" s="4"/>
    </row>
    <row r="6" spans="1:15" ht="28.5" customHeight="1">
      <c r="A6" s="4"/>
      <c r="B6" s="29">
        <v>2</v>
      </c>
      <c r="C6" s="29">
        <v>28</v>
      </c>
      <c r="D6" s="29">
        <v>42</v>
      </c>
      <c r="E6" s="29">
        <v>60</v>
      </c>
      <c r="F6" s="29">
        <v>61</v>
      </c>
      <c r="G6" s="29"/>
      <c r="H6" s="29">
        <v>2</v>
      </c>
      <c r="I6" s="29">
        <v>28</v>
      </c>
      <c r="J6" s="29">
        <v>42</v>
      </c>
      <c r="K6" s="29">
        <v>60</v>
      </c>
      <c r="L6" s="29">
        <v>61</v>
      </c>
      <c r="M6" s="4"/>
      <c r="O6" s="4"/>
    </row>
    <row r="7" spans="1:15" ht="28.5" customHeight="1"/>
    <row r="8" spans="1:15" ht="28.5" customHeight="1">
      <c r="A8" s="1"/>
      <c r="B8" s="27" t="s">
        <v>0</v>
      </c>
      <c r="C8" s="27" t="s">
        <v>1</v>
      </c>
      <c r="D8" s="27" t="s">
        <v>2</v>
      </c>
      <c r="E8" s="27" t="s">
        <v>3</v>
      </c>
      <c r="F8" s="27" t="s">
        <v>4</v>
      </c>
      <c r="G8" s="28"/>
      <c r="H8" s="27" t="s">
        <v>0</v>
      </c>
      <c r="I8" s="27" t="s">
        <v>1</v>
      </c>
      <c r="J8" s="27" t="s">
        <v>2</v>
      </c>
      <c r="K8" s="27" t="s">
        <v>3</v>
      </c>
      <c r="L8" s="27" t="s">
        <v>4</v>
      </c>
      <c r="M8" s="1"/>
      <c r="O8" s="1"/>
    </row>
    <row r="9" spans="1:15" ht="28.5" customHeight="1">
      <c r="A9" s="1"/>
      <c r="B9" s="29">
        <v>15</v>
      </c>
      <c r="C9" s="29">
        <v>19</v>
      </c>
      <c r="D9" s="29">
        <v>39</v>
      </c>
      <c r="E9" s="29">
        <v>49</v>
      </c>
      <c r="F9" s="29">
        <v>71</v>
      </c>
      <c r="G9" s="29"/>
      <c r="H9" s="29">
        <v>15</v>
      </c>
      <c r="I9" s="29">
        <v>19</v>
      </c>
      <c r="J9" s="29">
        <v>39</v>
      </c>
      <c r="K9" s="29">
        <v>49</v>
      </c>
      <c r="L9" s="29">
        <v>71</v>
      </c>
      <c r="M9" s="1"/>
      <c r="O9" s="1"/>
    </row>
    <row r="10" spans="1:15" ht="28.5" customHeight="1">
      <c r="A10" s="1"/>
      <c r="B10" s="29">
        <v>12</v>
      </c>
      <c r="C10" s="29">
        <v>18</v>
      </c>
      <c r="D10" s="29">
        <v>43</v>
      </c>
      <c r="E10" s="29">
        <v>48</v>
      </c>
      <c r="F10" s="29">
        <v>70</v>
      </c>
      <c r="G10" s="29"/>
      <c r="H10" s="29">
        <v>12</v>
      </c>
      <c r="I10" s="29">
        <v>18</v>
      </c>
      <c r="J10" s="29">
        <v>43</v>
      </c>
      <c r="K10" s="29">
        <v>48</v>
      </c>
      <c r="L10" s="29">
        <v>70</v>
      </c>
      <c r="M10" s="1"/>
      <c r="O10" s="1"/>
    </row>
    <row r="11" spans="1:15" ht="28.5" customHeight="1">
      <c r="A11" s="1"/>
      <c r="B11" s="29">
        <v>14</v>
      </c>
      <c r="C11" s="29">
        <v>27</v>
      </c>
      <c r="D11" s="29" t="s">
        <v>44</v>
      </c>
      <c r="E11" s="29">
        <v>47</v>
      </c>
      <c r="F11" s="29">
        <v>66</v>
      </c>
      <c r="G11" s="29"/>
      <c r="H11" s="29">
        <v>14</v>
      </c>
      <c r="I11" s="29">
        <v>27</v>
      </c>
      <c r="J11" s="29" t="s">
        <v>44</v>
      </c>
      <c r="K11" s="29">
        <v>47</v>
      </c>
      <c r="L11" s="29">
        <v>66</v>
      </c>
      <c r="M11" s="1"/>
      <c r="O11" s="1"/>
    </row>
    <row r="12" spans="1:15" ht="28.5" customHeight="1">
      <c r="A12" s="1"/>
      <c r="B12" s="29">
        <v>5</v>
      </c>
      <c r="C12" s="29">
        <v>21</v>
      </c>
      <c r="D12" s="29">
        <v>34</v>
      </c>
      <c r="E12" s="29">
        <v>51</v>
      </c>
      <c r="F12" s="29">
        <v>68</v>
      </c>
      <c r="G12" s="29"/>
      <c r="H12" s="29">
        <v>5</v>
      </c>
      <c r="I12" s="29">
        <v>21</v>
      </c>
      <c r="J12" s="29">
        <v>34</v>
      </c>
      <c r="K12" s="29">
        <v>51</v>
      </c>
      <c r="L12" s="29">
        <v>68</v>
      </c>
      <c r="M12" s="1"/>
      <c r="O12" s="1"/>
    </row>
    <row r="13" spans="1:15" ht="28.5" customHeight="1">
      <c r="A13" s="1"/>
      <c r="B13" s="29">
        <v>1</v>
      </c>
      <c r="C13" s="29">
        <v>30</v>
      </c>
      <c r="D13" s="29">
        <v>37</v>
      </c>
      <c r="E13" s="29">
        <v>50</v>
      </c>
      <c r="F13" s="29">
        <v>62</v>
      </c>
      <c r="G13" s="29"/>
      <c r="H13" s="29">
        <v>1</v>
      </c>
      <c r="I13" s="29">
        <v>30</v>
      </c>
      <c r="J13" s="29">
        <v>37</v>
      </c>
      <c r="K13" s="29">
        <v>50</v>
      </c>
      <c r="L13" s="29">
        <v>62</v>
      </c>
      <c r="M13" s="1"/>
      <c r="O13" s="1"/>
    </row>
    <row r="14" spans="1:15" ht="28.5" customHeight="1"/>
    <row r="15" spans="1:15" ht="28.5" customHeight="1">
      <c r="A15" s="1"/>
      <c r="B15" s="27"/>
      <c r="C15" s="27"/>
      <c r="D15" s="27"/>
      <c r="E15" s="27"/>
      <c r="F15" s="27"/>
      <c r="G15" s="28"/>
      <c r="H15" s="27"/>
      <c r="I15" s="27"/>
      <c r="J15" s="27"/>
      <c r="K15" s="27"/>
      <c r="L15" s="27"/>
      <c r="M15" s="1"/>
      <c r="O15" s="1"/>
    </row>
    <row r="16" spans="1:15" ht="28.5" customHeight="1">
      <c r="A16" s="1"/>
      <c r="B16" s="29"/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1"/>
      <c r="O16" s="1"/>
    </row>
    <row r="17" spans="1:15" ht="28.5" customHeight="1">
      <c r="A17" s="1"/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1"/>
      <c r="O17" s="1"/>
    </row>
    <row r="18" spans="1:15" ht="28.5" customHeight="1">
      <c r="A18" s="1"/>
      <c r="B18" s="29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1"/>
      <c r="O18" s="1"/>
    </row>
    <row r="19" spans="1:15" ht="28.5" customHeight="1">
      <c r="A19" s="1"/>
      <c r="B19" s="29"/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1"/>
      <c r="O19" s="1"/>
    </row>
    <row r="20" spans="1:15" ht="28.5" customHeight="1">
      <c r="A20" s="1"/>
      <c r="B20" s="29"/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1"/>
      <c r="O20" s="1"/>
    </row>
    <row r="21" spans="1:15" ht="28.5" customHeight="1"/>
  </sheetData>
  <phoneticPr fontId="20" type="noConversion"/>
  <pageMargins left="0.7" right="0.7" top="0.75" bottom="0.75" header="0.3" footer="0.3"/>
  <pageSetup paperSize="9" scale="88" orientation="portrait" r:id="rId1"/>
  <rowBreaks count="1" manualBreakCount="1">
    <brk id="21" max="13" man="1"/>
  </row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C4B694BE-502B-42C1-8DFD-3FEAE63DFBB9}">
            <xm:f>HLOOKUP(B2,Cards!$O$2:$DQ$2,1,FALSE)</xm:f>
            <x14:dxf>
              <font>
                <b val="0"/>
                <i/>
                <strike val="0"/>
                <color theme="5"/>
              </font>
            </x14:dxf>
          </x14:cfRule>
          <xm:sqref>B2:L20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O21"/>
  <sheetViews>
    <sheetView zoomScaleNormal="100" zoomScaleSheetLayoutView="70" workbookViewId="0">
      <selection activeCell="B15" sqref="B15:L20"/>
    </sheetView>
  </sheetViews>
  <sheetFormatPr defaultRowHeight="33.75"/>
  <cols>
    <col min="1" max="1" width="4.140625" customWidth="1"/>
    <col min="2" max="6" width="8.7109375" style="5" customWidth="1"/>
    <col min="7" max="7" width="3.140625" customWidth="1"/>
    <col min="8" max="12" width="8.7109375" style="5" customWidth="1"/>
    <col min="13" max="13" width="4.140625" customWidth="1"/>
    <col min="14" max="14" width="12" customWidth="1"/>
  </cols>
  <sheetData>
    <row r="1" spans="1:15" ht="28.5" customHeight="1">
      <c r="A1" s="3"/>
      <c r="B1" s="27" t="s">
        <v>0</v>
      </c>
      <c r="C1" s="27" t="s">
        <v>1</v>
      </c>
      <c r="D1" s="27" t="s">
        <v>2</v>
      </c>
      <c r="E1" s="27" t="s">
        <v>3</v>
      </c>
      <c r="F1" s="27" t="s">
        <v>4</v>
      </c>
      <c r="G1" s="28"/>
      <c r="H1" s="27" t="s">
        <v>0</v>
      </c>
      <c r="I1" s="27" t="s">
        <v>1</v>
      </c>
      <c r="J1" s="27" t="s">
        <v>2</v>
      </c>
      <c r="K1" s="27" t="s">
        <v>3</v>
      </c>
      <c r="L1" s="27" t="s">
        <v>4</v>
      </c>
      <c r="M1" s="3"/>
      <c r="N1" s="5" t="str">
        <f ca="1">MID(CELL("filename",A1),FIND("]",CELL("filename",A1))+1,255)</f>
        <v>1 (26)</v>
      </c>
      <c r="O1" s="3"/>
    </row>
    <row r="2" spans="1:15" ht="28.5" customHeight="1">
      <c r="A2" s="4"/>
      <c r="B2" s="29">
        <v>14</v>
      </c>
      <c r="C2" s="29">
        <v>29</v>
      </c>
      <c r="D2" s="29">
        <v>38</v>
      </c>
      <c r="E2" s="29">
        <v>53</v>
      </c>
      <c r="F2" s="29">
        <v>73</v>
      </c>
      <c r="G2" s="29"/>
      <c r="H2" s="29">
        <v>14</v>
      </c>
      <c r="I2" s="29">
        <v>29</v>
      </c>
      <c r="J2" s="29">
        <v>38</v>
      </c>
      <c r="K2" s="29">
        <v>53</v>
      </c>
      <c r="L2" s="29">
        <v>73</v>
      </c>
      <c r="M2" s="4"/>
      <c r="O2" s="4"/>
    </row>
    <row r="3" spans="1:15" ht="28.5" customHeight="1">
      <c r="A3" s="4"/>
      <c r="B3" s="29">
        <v>3</v>
      </c>
      <c r="C3" s="29">
        <v>21</v>
      </c>
      <c r="D3" s="29">
        <v>35</v>
      </c>
      <c r="E3" s="29">
        <v>54</v>
      </c>
      <c r="F3" s="29">
        <v>74</v>
      </c>
      <c r="G3" s="29"/>
      <c r="H3" s="29">
        <v>3</v>
      </c>
      <c r="I3" s="29">
        <v>21</v>
      </c>
      <c r="J3" s="29">
        <v>35</v>
      </c>
      <c r="K3" s="29">
        <v>54</v>
      </c>
      <c r="L3" s="29">
        <v>74</v>
      </c>
      <c r="M3" s="4"/>
      <c r="O3" s="4"/>
    </row>
    <row r="4" spans="1:15" ht="28.5" customHeight="1">
      <c r="A4" s="4"/>
      <c r="B4" s="29">
        <v>15</v>
      </c>
      <c r="C4" s="29">
        <v>22</v>
      </c>
      <c r="D4" s="29" t="s">
        <v>44</v>
      </c>
      <c r="E4" s="29">
        <v>58</v>
      </c>
      <c r="F4" s="29">
        <v>64</v>
      </c>
      <c r="G4" s="29"/>
      <c r="H4" s="29">
        <v>15</v>
      </c>
      <c r="I4" s="29">
        <v>22</v>
      </c>
      <c r="J4" s="29" t="s">
        <v>44</v>
      </c>
      <c r="K4" s="29">
        <v>58</v>
      </c>
      <c r="L4" s="29">
        <v>64</v>
      </c>
      <c r="M4" s="4"/>
      <c r="O4" s="4"/>
    </row>
    <row r="5" spans="1:15" ht="28.5" customHeight="1">
      <c r="A5" s="4"/>
      <c r="B5" s="29">
        <v>5</v>
      </c>
      <c r="C5" s="29">
        <v>17</v>
      </c>
      <c r="D5" s="29">
        <v>33</v>
      </c>
      <c r="E5" s="29">
        <v>57</v>
      </c>
      <c r="F5" s="29">
        <v>72</v>
      </c>
      <c r="G5" s="29"/>
      <c r="H5" s="29">
        <v>5</v>
      </c>
      <c r="I5" s="29">
        <v>17</v>
      </c>
      <c r="J5" s="29">
        <v>33</v>
      </c>
      <c r="K5" s="29">
        <v>57</v>
      </c>
      <c r="L5" s="29">
        <v>72</v>
      </c>
      <c r="M5" s="4"/>
      <c r="O5" s="4"/>
    </row>
    <row r="6" spans="1:15" ht="28.5" customHeight="1">
      <c r="A6" s="4"/>
      <c r="B6" s="29">
        <v>13</v>
      </c>
      <c r="C6" s="29">
        <v>28</v>
      </c>
      <c r="D6" s="29">
        <v>32</v>
      </c>
      <c r="E6" s="29">
        <v>60</v>
      </c>
      <c r="F6" s="29">
        <v>69</v>
      </c>
      <c r="G6" s="29"/>
      <c r="H6" s="29">
        <v>13</v>
      </c>
      <c r="I6" s="29">
        <v>28</v>
      </c>
      <c r="J6" s="29">
        <v>32</v>
      </c>
      <c r="K6" s="29">
        <v>60</v>
      </c>
      <c r="L6" s="29">
        <v>69</v>
      </c>
      <c r="M6" s="4"/>
      <c r="O6" s="4"/>
    </row>
    <row r="7" spans="1:15" ht="28.5" customHeight="1"/>
    <row r="8" spans="1:15" ht="28.5" customHeight="1">
      <c r="A8" s="1"/>
      <c r="B8" s="27" t="s">
        <v>0</v>
      </c>
      <c r="C8" s="27" t="s">
        <v>1</v>
      </c>
      <c r="D8" s="27" t="s">
        <v>2</v>
      </c>
      <c r="E8" s="27" t="s">
        <v>3</v>
      </c>
      <c r="F8" s="27" t="s">
        <v>4</v>
      </c>
      <c r="G8" s="28"/>
      <c r="H8" s="27" t="s">
        <v>0</v>
      </c>
      <c r="I8" s="27" t="s">
        <v>1</v>
      </c>
      <c r="J8" s="27" t="s">
        <v>2</v>
      </c>
      <c r="K8" s="27" t="s">
        <v>3</v>
      </c>
      <c r="L8" s="27" t="s">
        <v>4</v>
      </c>
      <c r="M8" s="1"/>
      <c r="O8" s="1"/>
    </row>
    <row r="9" spans="1:15" ht="28.5" customHeight="1">
      <c r="A9" s="1"/>
      <c r="B9" s="29">
        <v>9</v>
      </c>
      <c r="C9" s="29">
        <v>27</v>
      </c>
      <c r="D9" s="29">
        <v>44</v>
      </c>
      <c r="E9" s="29">
        <v>60</v>
      </c>
      <c r="F9" s="29">
        <v>65</v>
      </c>
      <c r="G9" s="29"/>
      <c r="H9" s="29">
        <v>9</v>
      </c>
      <c r="I9" s="29">
        <v>27</v>
      </c>
      <c r="J9" s="29">
        <v>44</v>
      </c>
      <c r="K9" s="29">
        <v>60</v>
      </c>
      <c r="L9" s="29">
        <v>65</v>
      </c>
      <c r="M9" s="1"/>
      <c r="O9" s="1"/>
    </row>
    <row r="10" spans="1:15" ht="28.5" customHeight="1">
      <c r="A10" s="1"/>
      <c r="B10" s="29">
        <v>14</v>
      </c>
      <c r="C10" s="29">
        <v>29</v>
      </c>
      <c r="D10" s="29">
        <v>32</v>
      </c>
      <c r="E10" s="29">
        <v>53</v>
      </c>
      <c r="F10" s="29">
        <v>69</v>
      </c>
      <c r="G10" s="29"/>
      <c r="H10" s="29">
        <v>14</v>
      </c>
      <c r="I10" s="29">
        <v>29</v>
      </c>
      <c r="J10" s="29">
        <v>32</v>
      </c>
      <c r="K10" s="29">
        <v>53</v>
      </c>
      <c r="L10" s="29">
        <v>69</v>
      </c>
      <c r="M10" s="1"/>
      <c r="O10" s="1"/>
    </row>
    <row r="11" spans="1:15" ht="28.5" customHeight="1">
      <c r="A11" s="1"/>
      <c r="B11" s="29">
        <v>3</v>
      </c>
      <c r="C11" s="29">
        <v>26</v>
      </c>
      <c r="D11" s="29" t="s">
        <v>44</v>
      </c>
      <c r="E11" s="29">
        <v>59</v>
      </c>
      <c r="F11" s="29">
        <v>74</v>
      </c>
      <c r="G11" s="29"/>
      <c r="H11" s="29">
        <v>3</v>
      </c>
      <c r="I11" s="29">
        <v>26</v>
      </c>
      <c r="J11" s="29" t="s">
        <v>44</v>
      </c>
      <c r="K11" s="29">
        <v>59</v>
      </c>
      <c r="L11" s="29">
        <v>74</v>
      </c>
      <c r="M11" s="1"/>
      <c r="O11" s="1"/>
    </row>
    <row r="12" spans="1:15" ht="28.5" customHeight="1">
      <c r="A12" s="1"/>
      <c r="B12" s="29">
        <v>15</v>
      </c>
      <c r="C12" s="29">
        <v>25</v>
      </c>
      <c r="D12" s="29">
        <v>33</v>
      </c>
      <c r="E12" s="29">
        <v>47</v>
      </c>
      <c r="F12" s="29">
        <v>64</v>
      </c>
      <c r="G12" s="29"/>
      <c r="H12" s="29">
        <v>15</v>
      </c>
      <c r="I12" s="29">
        <v>25</v>
      </c>
      <c r="J12" s="29">
        <v>33</v>
      </c>
      <c r="K12" s="29">
        <v>47</v>
      </c>
      <c r="L12" s="29">
        <v>64</v>
      </c>
      <c r="M12" s="1"/>
      <c r="O12" s="1"/>
    </row>
    <row r="13" spans="1:15" ht="28.5" customHeight="1">
      <c r="A13" s="1"/>
      <c r="B13" s="29">
        <v>6</v>
      </c>
      <c r="C13" s="29">
        <v>17</v>
      </c>
      <c r="D13" s="29">
        <v>40</v>
      </c>
      <c r="E13" s="29">
        <v>57</v>
      </c>
      <c r="F13" s="29">
        <v>75</v>
      </c>
      <c r="G13" s="29"/>
      <c r="H13" s="29">
        <v>6</v>
      </c>
      <c r="I13" s="29">
        <v>17</v>
      </c>
      <c r="J13" s="29">
        <v>40</v>
      </c>
      <c r="K13" s="29">
        <v>57</v>
      </c>
      <c r="L13" s="29">
        <v>75</v>
      </c>
      <c r="M13" s="1"/>
      <c r="O13" s="1"/>
    </row>
    <row r="14" spans="1:15" ht="28.5" customHeight="1"/>
    <row r="15" spans="1:15" ht="28.5" customHeight="1">
      <c r="A15" s="1"/>
      <c r="B15" s="27"/>
      <c r="C15" s="27"/>
      <c r="D15" s="27"/>
      <c r="E15" s="27"/>
      <c r="F15" s="27"/>
      <c r="G15" s="28"/>
      <c r="H15" s="27"/>
      <c r="I15" s="27"/>
      <c r="J15" s="27"/>
      <c r="K15" s="27"/>
      <c r="L15" s="27"/>
      <c r="M15" s="1"/>
      <c r="O15" s="1"/>
    </row>
    <row r="16" spans="1:15" ht="28.5" customHeight="1">
      <c r="A16" s="1"/>
      <c r="B16" s="29"/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1"/>
      <c r="O16" s="1"/>
    </row>
    <row r="17" spans="1:15" ht="28.5" customHeight="1">
      <c r="A17" s="1"/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1"/>
      <c r="O17" s="1"/>
    </row>
    <row r="18" spans="1:15" ht="28.5" customHeight="1">
      <c r="A18" s="1"/>
      <c r="B18" s="29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1"/>
      <c r="O18" s="1"/>
    </row>
    <row r="19" spans="1:15" ht="28.5" customHeight="1">
      <c r="A19" s="1"/>
      <c r="B19" s="29"/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1"/>
      <c r="O19" s="1"/>
    </row>
    <row r="20" spans="1:15" ht="28.5" customHeight="1">
      <c r="A20" s="1"/>
      <c r="B20" s="29"/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1"/>
      <c r="O20" s="1"/>
    </row>
    <row r="21" spans="1:15" ht="28.5" customHeight="1"/>
  </sheetData>
  <phoneticPr fontId="20" type="noConversion"/>
  <pageMargins left="0.7" right="0.7" top="0.75" bottom="0.75" header="0.3" footer="0.3"/>
  <pageSetup paperSize="9" scale="88" orientation="portrait" r:id="rId1"/>
  <rowBreaks count="1" manualBreakCount="1">
    <brk id="21" max="13" man="1"/>
  </row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1D68803D-B4FE-4B5F-8A3F-AE67BC0D6886}">
            <xm:f>HLOOKUP(B2,Cards!$O$2:$DQ$2,1,FALSE)</xm:f>
            <x14:dxf>
              <font>
                <b val="0"/>
                <i/>
                <strike val="0"/>
                <color theme="5"/>
              </font>
            </x14:dxf>
          </x14:cfRule>
          <xm:sqref>B2:L20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D30"/>
  <sheetViews>
    <sheetView showGridLines="0" workbookViewId="0">
      <selection activeCell="F1" sqref="F1"/>
    </sheetView>
  </sheetViews>
  <sheetFormatPr defaultColWidth="9" defaultRowHeight="12.75"/>
  <cols>
    <col min="1" max="1" width="2.140625" style="19" customWidth="1"/>
    <col min="2" max="2" width="41" style="19" bestFit="1" customWidth="1"/>
    <col min="3" max="3" width="64" style="19" bestFit="1" customWidth="1"/>
    <col min="4" max="16384" width="9" style="19"/>
  </cols>
  <sheetData>
    <row r="1" spans="1:4" ht="15.75">
      <c r="A1" s="20"/>
      <c r="B1" s="21"/>
      <c r="C1" s="20"/>
      <c r="D1" s="20"/>
    </row>
    <row r="2" spans="1:4" ht="18.75">
      <c r="A2" s="20"/>
      <c r="B2" s="22" t="s">
        <v>18</v>
      </c>
      <c r="C2" s="20"/>
      <c r="D2" s="20"/>
    </row>
    <row r="3" spans="1:4" ht="15.75">
      <c r="A3" s="20"/>
      <c r="B3" s="23"/>
      <c r="C3" s="20"/>
      <c r="D3" s="20"/>
    </row>
    <row r="4" spans="1:4" ht="15.75">
      <c r="A4" s="20"/>
      <c r="B4" s="24" t="s">
        <v>14</v>
      </c>
      <c r="C4" s="20" t="s">
        <v>19</v>
      </c>
      <c r="D4" s="20"/>
    </row>
    <row r="5" spans="1:4" ht="15.75">
      <c r="A5" s="20"/>
      <c r="B5" s="24" t="s">
        <v>15</v>
      </c>
      <c r="C5" s="20" t="s">
        <v>20</v>
      </c>
      <c r="D5" s="20"/>
    </row>
    <row r="6" spans="1:4" ht="15.75">
      <c r="A6" s="20"/>
      <c r="B6" s="24" t="s">
        <v>21</v>
      </c>
      <c r="C6" s="20" t="s">
        <v>22</v>
      </c>
      <c r="D6" s="20"/>
    </row>
    <row r="7" spans="1:4" ht="15.75">
      <c r="A7" s="20"/>
      <c r="B7" s="24" t="s">
        <v>23</v>
      </c>
      <c r="C7" s="20" t="s">
        <v>24</v>
      </c>
      <c r="D7" s="20"/>
    </row>
    <row r="8" spans="1:4" ht="15.75">
      <c r="A8" s="20"/>
      <c r="B8" s="24" t="s">
        <v>13</v>
      </c>
      <c r="C8" s="20" t="s">
        <v>25</v>
      </c>
      <c r="D8" s="20"/>
    </row>
    <row r="9" spans="1:4" ht="15.75">
      <c r="A9" s="20"/>
      <c r="B9" s="25"/>
      <c r="C9" s="20"/>
      <c r="D9" s="20"/>
    </row>
    <row r="10" spans="1:4" ht="18.75">
      <c r="A10" s="20"/>
      <c r="B10" s="22" t="s">
        <v>8</v>
      </c>
      <c r="C10" s="20"/>
      <c r="D10" s="20"/>
    </row>
    <row r="11" spans="1:4" ht="15.75">
      <c r="A11" s="20"/>
      <c r="B11" s="25"/>
      <c r="C11" s="20"/>
      <c r="D11" s="20"/>
    </row>
    <row r="12" spans="1:4" ht="15.75">
      <c r="A12" s="20"/>
      <c r="B12" s="24" t="s">
        <v>9</v>
      </c>
      <c r="C12" s="20" t="s">
        <v>26</v>
      </c>
      <c r="D12" s="20"/>
    </row>
    <row r="13" spans="1:4" ht="15.75">
      <c r="A13" s="20"/>
      <c r="B13" s="24" t="s">
        <v>10</v>
      </c>
      <c r="C13" s="20" t="s">
        <v>27</v>
      </c>
      <c r="D13" s="20"/>
    </row>
    <row r="14" spans="1:4" ht="15.75">
      <c r="A14" s="20"/>
      <c r="B14" s="24" t="s">
        <v>28</v>
      </c>
      <c r="C14" s="20" t="s">
        <v>29</v>
      </c>
      <c r="D14" s="20"/>
    </row>
    <row r="15" spans="1:4" ht="15.75">
      <c r="A15" s="20"/>
      <c r="B15" s="24" t="s">
        <v>30</v>
      </c>
      <c r="C15" s="20" t="s">
        <v>31</v>
      </c>
      <c r="D15" s="20"/>
    </row>
    <row r="16" spans="1:4" ht="15.75">
      <c r="A16" s="20"/>
      <c r="B16" s="24" t="s">
        <v>16</v>
      </c>
      <c r="C16" s="20" t="s">
        <v>32</v>
      </c>
      <c r="D16" s="20"/>
    </row>
    <row r="17" spans="1:4" ht="15.75">
      <c r="A17" s="20"/>
      <c r="B17" s="24" t="s">
        <v>17</v>
      </c>
      <c r="C17" s="20" t="s">
        <v>33</v>
      </c>
      <c r="D17" s="20"/>
    </row>
    <row r="18" spans="1:4" ht="15.75">
      <c r="A18" s="18"/>
      <c r="B18" s="24" t="s">
        <v>11</v>
      </c>
      <c r="C18" s="20" t="s">
        <v>34</v>
      </c>
      <c r="D18" s="20"/>
    </row>
    <row r="19" spans="1:4" ht="15.75">
      <c r="A19" s="20"/>
      <c r="B19" s="26"/>
      <c r="C19" s="20"/>
      <c r="D19" s="20"/>
    </row>
    <row r="20" spans="1:4" ht="18.75">
      <c r="A20" s="20"/>
      <c r="B20" s="22" t="s">
        <v>35</v>
      </c>
      <c r="C20" s="20"/>
      <c r="D20" s="20"/>
    </row>
    <row r="21" spans="1:4" ht="15.75">
      <c r="A21" s="20"/>
      <c r="B21" s="23"/>
      <c r="C21" s="20"/>
      <c r="D21" s="20"/>
    </row>
    <row r="22" spans="1:4" ht="15.75">
      <c r="A22" s="20"/>
      <c r="B22" s="24" t="s">
        <v>36</v>
      </c>
      <c r="C22" s="20" t="s">
        <v>37</v>
      </c>
      <c r="D22" s="20"/>
    </row>
    <row r="23" spans="1:4" ht="15.75">
      <c r="A23" s="20"/>
      <c r="B23" s="24" t="s">
        <v>5</v>
      </c>
      <c r="C23" s="20" t="s">
        <v>38</v>
      </c>
      <c r="D23" s="20"/>
    </row>
    <row r="24" spans="1:4" ht="15.75">
      <c r="A24" s="20"/>
      <c r="B24" s="24" t="s">
        <v>6</v>
      </c>
      <c r="C24" s="20" t="s">
        <v>39</v>
      </c>
      <c r="D24" s="20"/>
    </row>
    <row r="25" spans="1:4" ht="15.75">
      <c r="A25" s="20"/>
      <c r="B25" s="24" t="s">
        <v>7</v>
      </c>
      <c r="C25" s="20" t="s">
        <v>40</v>
      </c>
      <c r="D25" s="20"/>
    </row>
    <row r="26" spans="1:4" ht="15.75">
      <c r="A26" s="20"/>
      <c r="B26" s="24" t="s">
        <v>12</v>
      </c>
      <c r="C26" s="20" t="s">
        <v>41</v>
      </c>
      <c r="D26" s="20"/>
    </row>
    <row r="27" spans="1:4" ht="15.75">
      <c r="A27" s="20"/>
      <c r="B27" s="21"/>
      <c r="C27" s="20"/>
      <c r="D27" s="20"/>
    </row>
    <row r="28" spans="1:4" ht="15.75">
      <c r="A28" s="20"/>
      <c r="B28" s="21"/>
      <c r="C28" s="20"/>
      <c r="D28" s="20"/>
    </row>
    <row r="29" spans="1:4" ht="15.75">
      <c r="A29" s="20"/>
      <c r="B29" s="21"/>
      <c r="C29" s="20"/>
      <c r="D29" s="20"/>
    </row>
    <row r="30" spans="1:4" ht="15.75">
      <c r="A30" s="20"/>
      <c r="B30" s="21"/>
      <c r="C30" s="20"/>
      <c r="D30" s="20"/>
    </row>
  </sheetData>
  <phoneticPr fontId="10" type="noConversion"/>
  <hyperlinks>
    <hyperlink ref="B12" r:id="rId1" tooltip="Jon Peltier's Excel Chart Utilities"/>
    <hyperlink ref="B13" r:id="rId2" tooltip="ExcelUser Dashboards"/>
    <hyperlink ref="B18" r:id="rId3" tooltip="Chandoo's Project Management Templates"/>
    <hyperlink ref="B17" r:id="rId4" tooltip="Chandoo's Excel VBA School"/>
    <hyperlink ref="B8" r:id="rId5" tooltip="30 Excel Functions in 30 Days eBook kit"/>
    <hyperlink ref="B4" r:id="rId6" tooltip="PivotPower Premium Add-in"/>
    <hyperlink ref="B5" r:id="rId7" tooltip="UserForms for Data Entry ebook Kit"/>
    <hyperlink ref="B16" r:id="rId8" tooltip="Excel Courses Online"/>
    <hyperlink ref="B6" r:id="rId9"/>
    <hyperlink ref="B23" r:id="rId10"/>
    <hyperlink ref="B25" r:id="rId11"/>
    <hyperlink ref="B24" r:id="rId12"/>
    <hyperlink ref="B26" r:id="rId13" tooltip="Debra's Pivot Table Books on Amazon"/>
    <hyperlink ref="B7" r:id="rId14"/>
    <hyperlink ref="B15" r:id="rId15"/>
    <hyperlink ref="B14" r:id="rId16" tooltip="Xtreme Pivot Table Course"/>
    <hyperlink ref="B22" r:id="rId17"/>
  </hyperlinks>
  <pageMargins left="0.75" right="0.75" top="1" bottom="1" header="0.5" footer="0.5"/>
  <pageSetup paperSize="9" orientation="portrait" r:id="rId18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30</vt:i4>
      </vt:variant>
      <vt:variant>
        <vt:lpstr>命名范围</vt:lpstr>
      </vt:variant>
      <vt:variant>
        <vt:i4>28</vt:i4>
      </vt:variant>
    </vt:vector>
  </HeadingPairs>
  <TitlesOfParts>
    <vt:vector size="58" baseType="lpstr">
      <vt:lpstr>Cards</vt:lpstr>
      <vt:lpstr>Numbers</vt:lpstr>
      <vt:lpstr>0</vt:lpstr>
      <vt:lpstr>1</vt:lpstr>
      <vt:lpstr>2</vt:lpstr>
      <vt:lpstr>3</vt:lpstr>
      <vt:lpstr>4</vt:lpstr>
      <vt:lpstr>5</vt:lpstr>
      <vt:lpstr>6</vt:lpstr>
      <vt:lpstr>1 (7)</vt:lpstr>
      <vt:lpstr>1 (8)</vt:lpstr>
      <vt:lpstr>1 (9)</vt:lpstr>
      <vt:lpstr>1 (10)</vt:lpstr>
      <vt:lpstr>1 (11)</vt:lpstr>
      <vt:lpstr>1 (12)</vt:lpstr>
      <vt:lpstr>1 (13)</vt:lpstr>
      <vt:lpstr>1 (14)</vt:lpstr>
      <vt:lpstr>1 (15)</vt:lpstr>
      <vt:lpstr>1 (16)</vt:lpstr>
      <vt:lpstr>1 (17)</vt:lpstr>
      <vt:lpstr>1 (18)</vt:lpstr>
      <vt:lpstr>1 (19)</vt:lpstr>
      <vt:lpstr>1 (20)</vt:lpstr>
      <vt:lpstr>1 (21)</vt:lpstr>
      <vt:lpstr>1 (22)</vt:lpstr>
      <vt:lpstr>1 (23)</vt:lpstr>
      <vt:lpstr>1 (24)</vt:lpstr>
      <vt:lpstr>1 (25)</vt:lpstr>
      <vt:lpstr>1 (26)</vt:lpstr>
      <vt:lpstr>MyLinks</vt:lpstr>
      <vt:lpstr>'0'!Print_Area</vt:lpstr>
      <vt:lpstr>'1'!Print_Area</vt:lpstr>
      <vt:lpstr>'1 (10)'!Print_Area</vt:lpstr>
      <vt:lpstr>'1 (11)'!Print_Area</vt:lpstr>
      <vt:lpstr>'1 (12)'!Print_Area</vt:lpstr>
      <vt:lpstr>'1 (13)'!Print_Area</vt:lpstr>
      <vt:lpstr>'1 (14)'!Print_Area</vt:lpstr>
      <vt:lpstr>'1 (15)'!Print_Area</vt:lpstr>
      <vt:lpstr>'1 (16)'!Print_Area</vt:lpstr>
      <vt:lpstr>'1 (17)'!Print_Area</vt:lpstr>
      <vt:lpstr>'1 (18)'!Print_Area</vt:lpstr>
      <vt:lpstr>'1 (19)'!Print_Area</vt:lpstr>
      <vt:lpstr>'1 (20)'!Print_Area</vt:lpstr>
      <vt:lpstr>'1 (21)'!Print_Area</vt:lpstr>
      <vt:lpstr>'1 (22)'!Print_Area</vt:lpstr>
      <vt:lpstr>'1 (23)'!Print_Area</vt:lpstr>
      <vt:lpstr>'1 (24)'!Print_Area</vt:lpstr>
      <vt:lpstr>'1 (25)'!Print_Area</vt:lpstr>
      <vt:lpstr>'1 (26)'!Print_Area</vt:lpstr>
      <vt:lpstr>'1 (7)'!Print_Area</vt:lpstr>
      <vt:lpstr>'1 (8)'!Print_Area</vt:lpstr>
      <vt:lpstr>'1 (9)'!Print_Area</vt:lpstr>
      <vt:lpstr>'2'!Print_Area</vt:lpstr>
      <vt:lpstr>'3'!Print_Area</vt:lpstr>
      <vt:lpstr>'4'!Print_Area</vt:lpstr>
      <vt:lpstr>'5'!Print_Area</vt:lpstr>
      <vt:lpstr>'6'!Print_Area</vt:lpstr>
      <vt:lpstr>Cards!Print_Area</vt:lpstr>
    </vt:vector>
  </TitlesOfParts>
  <Company>Contextures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Debra Dalgleish</dc:creator>
  <cp:lastModifiedBy>Zheng Cross Jason</cp:lastModifiedBy>
  <cp:lastPrinted>2017-01-13T03:53:50Z</cp:lastPrinted>
  <dcterms:created xsi:type="dcterms:W3CDTF">2002-10-27T19:16:07Z</dcterms:created>
  <dcterms:modified xsi:type="dcterms:W3CDTF">2017-01-15T14:15:17Z</dcterms:modified>
</cp:coreProperties>
</file>